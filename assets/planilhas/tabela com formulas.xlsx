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codeName="EstaPastaDeTrabalho" defaultThemeVersion="166925"/>
  <mc:AlternateContent xmlns:mc="http://schemas.openxmlformats.org/markup-compatibility/2006">
    <mc:Choice Requires="x15">
      <x15ac:absPath xmlns:x15ac="http://schemas.microsoft.com/office/spreadsheetml/2010/11/ac" url="C:\Users\lauro.urbano\Desktop\"/>
    </mc:Choice>
  </mc:AlternateContent>
  <xr:revisionPtr revIDLastSave="0" documentId="8_{A18CEF7F-EAE2-4CE2-9E5C-3C0B84118432}" xr6:coauthVersionLast="47" xr6:coauthVersionMax="47" xr10:uidLastSave="{00000000-0000-0000-0000-000000000000}"/>
  <bookViews>
    <workbookView xWindow="28680" yWindow="-120" windowWidth="29040" windowHeight="16440" tabRatio="863" activeTab="11" xr2:uid="{F834ED4A-0D4D-4D5B-A724-DB0FFD0C5B2C}"/>
  </bookViews>
  <sheets>
    <sheet name="Base protocolos" sheetId="2" r:id="rId1"/>
    <sheet name="PROTOCOLOS" sheetId="1" r:id="rId2"/>
    <sheet name="ORIENTAÇÕES" sheetId="11" r:id="rId3"/>
    <sheet name="RESPOSTAS PADRÃO" sheetId="9" r:id="rId4"/>
    <sheet name="PISO" sheetId="16" r:id="rId5"/>
    <sheet name="NORMAS" sheetId="12" r:id="rId6"/>
    <sheet name="NOMES EMPRESARIAIS" sheetId="13" r:id="rId7"/>
    <sheet name="CALC. HORAS" sheetId="4" r:id="rId8"/>
    <sheet name="Planilha2" sheetId="24" r:id="rId9"/>
    <sheet name="PISO_REF. " sheetId="3" r:id="rId10"/>
    <sheet name="RESPOSTAS" sheetId="22" r:id="rId11"/>
    <sheet name="listas" sheetId="20" r:id="rId12"/>
  </sheets>
  <externalReferences>
    <externalReference r:id="rId13"/>
    <externalReference r:id="rId14"/>
    <externalReference r:id="rId15"/>
  </externalReferences>
  <definedNames>
    <definedName name="_xlnm._FilterDatabase" localSheetId="5" hidden="1">NORMAS!$B$2:$E$19</definedName>
    <definedName name="_xlnm._FilterDatabase" localSheetId="1" hidden="1">PROTOCOLOS!$A$1:$H$512</definedName>
    <definedName name="_xlnm._FilterDatabase" localSheetId="10" hidden="1">RESPOSTAS!$A$1:$D$23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2" i="11" l="1"/>
  <c r="D44" i="11"/>
  <c r="K4" i="16"/>
  <c r="B5" i="9"/>
  <c r="D101" i="11"/>
  <c r="D99" i="11"/>
  <c r="D97" i="11"/>
  <c r="D90" i="11"/>
  <c r="D88" i="11"/>
  <c r="D86" i="11"/>
  <c r="D84" i="11"/>
  <c r="D82" i="11"/>
  <c r="D80" i="11"/>
  <c r="D78" i="11"/>
  <c r="D76" i="11"/>
  <c r="D74" i="11"/>
  <c r="D72" i="11"/>
  <c r="D70" i="11"/>
  <c r="D68" i="11"/>
  <c r="D66" i="11"/>
  <c r="D64" i="11"/>
  <c r="D62" i="11"/>
  <c r="D56" i="11"/>
  <c r="D54" i="11"/>
  <c r="D52" i="11"/>
  <c r="D50" i="11"/>
  <c r="D48" i="11"/>
  <c r="D46" i="11"/>
  <c r="D40" i="11"/>
  <c r="D38" i="11"/>
  <c r="D36" i="11"/>
  <c r="D30" i="11"/>
  <c r="D28" i="11"/>
  <c r="D26" i="11"/>
  <c r="D24" i="11"/>
  <c r="D22" i="11"/>
  <c r="D20" i="11"/>
  <c r="D18" i="11"/>
  <c r="D16" i="11"/>
  <c r="D14" i="11"/>
  <c r="D12" i="11"/>
  <c r="D10" i="11"/>
  <c r="D8" i="11"/>
  <c r="D6" i="11"/>
  <c r="D4" i="11"/>
  <c r="H9" i="16"/>
  <c r="Q4" i="16"/>
  <c r="O4" i="16"/>
  <c r="M4" i="16"/>
  <c r="I4" i="16"/>
  <c r="I6" i="16" s="1"/>
  <c r="Q6" i="16" l="1"/>
  <c r="M6" i="16"/>
  <c r="K6" i="16"/>
  <c r="O6" i="16"/>
  <c r="O18" i="16" l="1"/>
  <c r="Q18" i="16"/>
  <c r="M18" i="16"/>
  <c r="I18" i="16"/>
  <c r="K18" i="16"/>
  <c r="E8" i="4"/>
  <c r="Q8" i="4"/>
  <c r="Q7" i="4"/>
  <c r="O8" i="4"/>
  <c r="O7" i="4"/>
  <c r="M8" i="4"/>
  <c r="M7" i="4"/>
  <c r="K8" i="4"/>
  <c r="I8" i="4"/>
  <c r="K7" i="4"/>
  <c r="I7" i="4"/>
  <c r="Q6" i="4"/>
  <c r="O6" i="4"/>
  <c r="M6" i="4"/>
  <c r="M9" i="4" s="1"/>
  <c r="K6" i="4"/>
  <c r="I6" i="4"/>
  <c r="I9" i="4" s="1"/>
  <c r="G8" i="4"/>
  <c r="G7" i="4"/>
  <c r="G6" i="4"/>
  <c r="E7" i="4"/>
  <c r="E6" i="4"/>
  <c r="Q9" i="4" l="1"/>
  <c r="E9" i="4"/>
  <c r="K9" i="4"/>
  <c r="G9" i="4"/>
  <c r="O9" i="4"/>
  <c r="F16" i="3"/>
  <c r="F14" i="3"/>
  <c r="F12" i="3"/>
  <c r="E1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Silvia Carla Nadal</author>
  </authors>
  <commentList>
    <comment ref="G359" authorId="0" shapeId="0" xr:uid="{F54E804B-4FE3-49C5-A22C-9CB16C231C3D}">
      <text>
        <r>
          <rPr>
            <sz val="9"/>
            <color indexed="81"/>
            <rFont val="Segoe UI"/>
            <charset val="1"/>
          </rPr>
          <t xml:space="preserve">
Empresa: Ruggeri &amp; Piva
CNPJ: 75.309.237/0019-87 (NTH Hospital Maringá)
75.309.237/0013-91 (Materno Infantil)
75.309.237/0018-04 (Melhor Idade)
75.309.237/0017-15 (Cerro Azul)
75.309.237/0016-34 (Palmeiras)
75.309.237/0008-24 (Prever)
Empresa: Diagnósticos da América S.A.
CNPJ: 61.486.650/0765-97 (Água Verde)
61.486.650/0428-54 (Barigui)
61.486.650/0404-87 (Campo Largo)
61.486.650/0391-28 (Carmo)
61.486.650/0403-04 (Fazenda Rio Grande)
61.486.650/0397-13 (Mercês)
61.486.650/0421-88 (Palladium)
61.486.650/0833-72 (Pinhais)
61.486.650/0415-30 (Pinheirinho)
61.486.650/0420-05 (Plínio Pessoa)
61.486.650/0416-10 (Santa Felicidade)
61.486.650/0417-00 (Xaxim)</t>
        </r>
      </text>
    </comment>
    <comment ref="G360" authorId="0" shapeId="0" xr:uid="{6EC72898-2628-46E7-8E10-7EEB4099C240}">
      <text>
        <r>
          <rPr>
            <sz val="9"/>
            <color indexed="81"/>
            <rFont val="Segoe UI"/>
            <charset val="1"/>
          </rPr>
          <t xml:space="preserve">
Empresa: Ruggeri &amp; Piva
CNPJ: 75.309.237/0019-87 (NTH Hospital Maringá)
75.309.237/0013-91 (Materno Infantil)
75.309.237/0018-04 (Melhor Idade)
75.309.237/0017-15 (Cerro Azul)
75.309.237/0016-34 (Palmeiras)
75.309.237/0008-24 (Prever)
Empresa: Diagnósticos da América S.A.
CNPJ: 61.486.650/0765-97 (Água Verde)
61.486.650/0428-54 (Barigui)
61.486.650/0404-87 (Campo Largo)
61.486.650/0391-28 (Carmo)
61.486.650/0403-04 (Fazenda Rio Grande)
61.486.650/0397-13 (Mercês)
61.486.650/0421-88 (Palladium)
61.486.650/0833-72 (Pinhais)
61.486.650/0415-30 (Pinheirinho)
61.486.650/0420-05 (Plínio Pessoa)
61.486.650/0416-10 (Santa Felicidade)
61.486.650/0417-00 (Xaxim)</t>
        </r>
      </text>
    </comment>
  </commentList>
</comments>
</file>

<file path=xl/sharedStrings.xml><?xml version="1.0" encoding="utf-8"?>
<sst xmlns="http://schemas.openxmlformats.org/spreadsheetml/2006/main" count="3181" uniqueCount="1411">
  <si>
    <t>Situação</t>
  </si>
  <si>
    <t>Data</t>
  </si>
  <si>
    <t>INGRESSO DE RESPONSABILIDADE TECNICA (WEB)</t>
  </si>
  <si>
    <t>Ocorrência</t>
  </si>
  <si>
    <t>2ª VIA DE CARTEIRA DE IDENTIDADE PROFISSIONAL (WEB)</t>
  </si>
  <si>
    <t>2ª VIA DE CEDULA DE IDENTIDADE PROFISSIONAL (WEB)</t>
  </si>
  <si>
    <t>ALTERACAO DE HORARIO E/OU MODALIDADE (WEB)</t>
  </si>
  <si>
    <t>ALVARA DE AUTONOMO (WEB)</t>
  </si>
  <si>
    <t>AVERBACAO CONTRATUAL (WEB)</t>
  </si>
  <si>
    <t>BAIXA DE RESPONSABILIDADE TECNICA (WEB)</t>
  </si>
  <si>
    <t>CANCELAMENTO DE INSCRICAO - PF (WEB)</t>
  </si>
  <si>
    <t>CANCELAMENTO DE REGISTRO - PJ (WEB)</t>
  </si>
  <si>
    <t>CERTIDAO SIMPLIFICADA - ATUALIZACAO CADASTRAL (WEB)</t>
  </si>
  <si>
    <t>CRACHA DE IDENTIFICACAO (WEB)</t>
  </si>
  <si>
    <t>EFETIVACAO DE INSCRICAO PROVISORIA PARA DEFINITIVA (WEB)</t>
  </si>
  <si>
    <t>ESCALA DE ASSISTENCIA FARMACEUTICA (WEB)</t>
  </si>
  <si>
    <t>PRE INSCRICAO PF</t>
  </si>
  <si>
    <t>PRORROGACAO DE INSCRICAO PROVISORIA</t>
  </si>
  <si>
    <t>RENOVACAO DE CONTRATO (WEB)</t>
  </si>
  <si>
    <t>REQUER BAIXA DE INSCRICAO - PF</t>
  </si>
  <si>
    <t>REQUER EFETIVACAO DE INSCRIÇÃO PROVISORIA</t>
  </si>
  <si>
    <t>REQUER INSCRICAO DE NAO FARMACEUTICO</t>
  </si>
  <si>
    <t>REQUER INSCRICAO DEFINITIVA</t>
  </si>
  <si>
    <t>REQUER INSCRICAO POR TRANSFERENCIA</t>
  </si>
  <si>
    <t>REQUER INSCRICAO PROVISORIA</t>
  </si>
  <si>
    <t>REQUER INSCRICAO REMIDA (WEB)</t>
  </si>
  <si>
    <t>REQUER INSCRICAO SECUNDARIA</t>
  </si>
  <si>
    <t>REQUER PRORROGACAO INSCRICAO PROVISORIA</t>
  </si>
  <si>
    <t>REQUER REABILITACAO DE INSCRICAO DEFINITIVA</t>
  </si>
  <si>
    <t>REQUER REABILITACAO DE INSCRICAO POR TRANSFERENCIA</t>
  </si>
  <si>
    <t>REQUER REABILITACAO DE REGISTRO - PJ</t>
  </si>
  <si>
    <t>REQUER RECONSIDERACAO DO INDEF. DO REGISTRO - PJ</t>
  </si>
  <si>
    <t>REQUER REGISTRO - PJ</t>
  </si>
  <si>
    <t>SOLICITA ANOTACAO DE TITULO OU HABILITACAO PROFISSIONAL (WEB)</t>
  </si>
  <si>
    <t>SOLICITA CERTIDAO DE TRANSFERENCIA PARA OUTRO CRF (WEB)</t>
  </si>
  <si>
    <t>SOLICITA CERTIDAO PARA FINS DE INSCRICAO SECUNDARIA EM OUTRO CRF (WEB)</t>
  </si>
  <si>
    <t>SOLICITA DECLARACAO DE APTIDAO EM SERVICOS DE VACINACAO (WEB)</t>
  </si>
  <si>
    <t>Indeferido Por Conflito de Horário</t>
  </si>
  <si>
    <t>Indeferido Sem Resposta</t>
  </si>
  <si>
    <t>Indeferido Sem Documento</t>
  </si>
  <si>
    <t>Indeferido Por Diretor Técnico</t>
  </si>
  <si>
    <t>Indeferido Por Canal Incorreto</t>
  </si>
  <si>
    <t>Indeferido Sem Habilitacao</t>
  </si>
  <si>
    <t>Arquivado</t>
  </si>
  <si>
    <t>Finalizado</t>
  </si>
  <si>
    <t>Escala Indeferida Empresa Irregular</t>
  </si>
  <si>
    <t>Escala Indeferida Empresa Sem o RT</t>
  </si>
  <si>
    <t>Obs</t>
  </si>
  <si>
    <t>Atenção</t>
  </si>
  <si>
    <t>DIGITE O VALOR DO PISO / REFERÊNCIA (PISO HOMOLOGADO EM ACT):</t>
  </si>
  <si>
    <t>DIGITE A QUANTIDADE DE HORAS / REFERÊNCIA (PISO HOMOLOGADO EM ACT):</t>
  </si>
  <si>
    <t>VALOR DECLARADO EM CARTEIRA OU CONTRATO, CASO SEJA NECESSÁRIO</t>
  </si>
  <si>
    <t>SABER O TOTAL DE HORAS CORRESPONDENTE.</t>
  </si>
  <si>
    <t>RESULTADO R$</t>
  </si>
  <si>
    <t>HORAS</t>
  </si>
  <si>
    <t>VALOR POR HORA:</t>
  </si>
  <si>
    <t>DOM</t>
  </si>
  <si>
    <t>SEG</t>
  </si>
  <si>
    <t>TER</t>
  </si>
  <si>
    <t>QUA</t>
  </si>
  <si>
    <t>QUI</t>
  </si>
  <si>
    <t>SEX</t>
  </si>
  <si>
    <t>SÁB</t>
  </si>
  <si>
    <t>PRIMEIRO TURNO</t>
  </si>
  <si>
    <t>SEGUNDO TURNO</t>
  </si>
  <si>
    <t>INTERVALO</t>
  </si>
  <si>
    <t>SOMA DE HORAS</t>
  </si>
  <si>
    <t xml:space="preserve">TOTAL DE HORAS SEMANA </t>
  </si>
  <si>
    <t>1. Preencher somente as caixas pontilhadas. Os cálculos e preenchimentos das demais serão automáticos.</t>
  </si>
  <si>
    <t xml:space="preserve">2 - Caso o estabelecimento não possua intervalos, poderá preencher somente o primeiro turno. No entanto, dará erro de cálculo. Há problema? Não, </t>
  </si>
  <si>
    <t xml:space="preserve">3 - A planilha foi criada para informar todos os cálculos por períodos e os intervalos, facilitando até em casos de intervalos inferiores a 30 minutos. Ela sinaliza. </t>
  </si>
  <si>
    <t>caso queiram deixar certo poderão lançar algo como: 07:00 - 13:00 / 13:00 - 19:00.</t>
  </si>
  <si>
    <t>SOLICITAÇÃO DE CORREÇÃO</t>
  </si>
  <si>
    <t>INDEFERIMENTO</t>
  </si>
  <si>
    <t>FORMULÁRIOS - REQUERIMENTO DO ESTABELECIMENTO</t>
  </si>
  <si>
    <t>FORMULÁRIOS - TERMO DE COMPROMISSO</t>
  </si>
  <si>
    <t>FORMULÁRIOS - FORMULÁRIOS ANTIGOS</t>
  </si>
  <si>
    <t>VÍNCULO DE TRABALHO - CTPS</t>
  </si>
  <si>
    <t xml:space="preserve">VÍNCULO DE TRABALHO - CONTRATO </t>
  </si>
  <si>
    <t>VÍNCULO DE TRABALHO - CONTRATOS PÚBLICOS</t>
  </si>
  <si>
    <t>VÍNCULO DE TRABALHO - ALVARÁ</t>
  </si>
  <si>
    <t>VÍNCULO DE TRABALHO - E-Social</t>
  </si>
  <si>
    <t>VÍNCULO DE TRABALHO - DECLARAÇÃO DE LOTAÇÃO</t>
  </si>
  <si>
    <t>VÍNCULO DE TRABALHO - MEI</t>
  </si>
  <si>
    <t>TRANSFERÊNCIAS - GRUPO ECONÔMICO</t>
  </si>
  <si>
    <t>TRANSFERÊNCIAS - FILIAIS</t>
  </si>
  <si>
    <t>VÍNCULO ABERTO NA CTPS</t>
  </si>
  <si>
    <t>DECLAROU OUTRAS ATIVIDADES</t>
  </si>
  <si>
    <t xml:space="preserve">SALÁRIO ABAIXO DO PISO </t>
  </si>
  <si>
    <t>ASSINATURA COLADA</t>
  </si>
  <si>
    <t xml:space="preserve">ASSINATURAS DIGITAIS QUE NÃO VALIDAM </t>
  </si>
  <si>
    <t>ASSINATURAS DIGITAIS QUE NÃO VALIDAM - CONTRATOS PÚBLICOS</t>
  </si>
  <si>
    <t>DAP – ESTABELECIMENTO IRREGULAR</t>
  </si>
  <si>
    <t>DAP COBRINDO MAIS QUE 6 PROFISSIONAIS</t>
  </si>
  <si>
    <t>SEM INTERVALO DECLARADO</t>
  </si>
  <si>
    <t>PROTOCOLOS - ESTABELECIMENTO JÁ POSSUI DIRETOR TÉCNICO</t>
  </si>
  <si>
    <t>PROTOCOLOS - LABORATÓRIO COM INGRESSO DE DIRETOR COM HORÁRIO DECLARADO QUE NÃO COBRE TODO HORÁRIO DE FUNCIONAMENTO:</t>
  </si>
  <si>
    <t xml:space="preserve">PROTOCOLOS - DECLARAÇÃO DE ATIVIDADES DE ESTÉTICA </t>
  </si>
  <si>
    <t>PROTOCOLOS - CONFLITO DE HORÁRIOS (OUTRA FILIAL)</t>
  </si>
  <si>
    <t>PROTOCOLOS - CONFLITO DE HORÁRIOS (OUTRO ESTABELECIMENTO)</t>
  </si>
  <si>
    <t>PROTOCOLOS - POSSUI RT COMO SUBSTITUTO</t>
  </si>
  <si>
    <t>PROTOCOLOS -  QUER INGRESSAR COMO SUBSTITUTO, MAS TEM OUTRA RT</t>
  </si>
  <si>
    <t>REGISTRO IRREGULAR</t>
  </si>
  <si>
    <t>HABILITAÇÕES - HOSPITALAR</t>
  </si>
  <si>
    <t>HABILITAÇÕES - HOMEOPATIA</t>
  </si>
  <si>
    <t>HABILITAÇÕES - ONCOLOGIA</t>
  </si>
  <si>
    <t xml:space="preserve">HABILITAÇÕES - ESTÉTICA </t>
  </si>
  <si>
    <t>PROTOCOLO DE IRREGULAR – 209</t>
  </si>
  <si>
    <t>SOLICITAÇÃO DE ESCALA VIA E-MAIL</t>
  </si>
  <si>
    <t>Resposta Padrão:</t>
  </si>
  <si>
    <t>VÍNCULO DE TRABALHO - SEM APRESENTAR DOCUMENTOS (COMPLEMENTAR COM UMA OPÇÃO ABAIXO)</t>
  </si>
  <si>
    <t>ARQUIVAMENTO PROTOCOLO DUPLICADO</t>
  </si>
  <si>
    <t>ARQUIVAMENTO EMPRESA INCORRETA</t>
  </si>
  <si>
    <t>ARQUIVAMENTO RESPOSTA DE CORREÇÃO</t>
  </si>
  <si>
    <t>(Copiar a resposta abaixo e colar no parecer do SAGICON)</t>
  </si>
  <si>
    <t>CARGA HORÁRIA ACIMA DE 10 HORAS AO DIA</t>
  </si>
  <si>
    <t>RESPOSTAS ESCALAS DEFERIDAS</t>
  </si>
  <si>
    <t>RESPOSTAS ESCALAS INDEFERIDAS</t>
  </si>
  <si>
    <t>CANCELAMENTO DE REGISTRO PJ ANOTADO</t>
  </si>
  <si>
    <t xml:space="preserve">DOCUMENTOS PARA CANCELAR REGISTRO PJ </t>
  </si>
  <si>
    <t>Escala Indeferida Horário Divergente</t>
  </si>
  <si>
    <t>REQUERIMENTO DO ESTABELECIMENTO</t>
  </si>
  <si>
    <t>REQUERIMENTO DO ESTABELECIMENTO (Manipulação Alopática)</t>
  </si>
  <si>
    <t>REQUERIMENTO DO ESTABELECIMENTO (Manipulação Homeopática)</t>
  </si>
  <si>
    <t>REQUERIMENTO DO ESTABELECIMENTO (Manipulação Alopática e Homeopática)</t>
  </si>
  <si>
    <t>REQUERIMENTO DO ESTABELECIMENTO (Farmácia Hospitalar)</t>
  </si>
  <si>
    <t>REQUERIMENTO DO ESTABELECIMENTO (Laboratório Industrial / Controle de qualidade / Esterilização / De pesquisa)</t>
  </si>
  <si>
    <t>LANÇAMENTOS NO SAGICON e GED</t>
  </si>
  <si>
    <t>DOCUMENTOS</t>
  </si>
  <si>
    <t xml:space="preserve">SITUAÇÕES ESPECÍFICAS </t>
  </si>
  <si>
    <t>REQUERIMENTO DO ESTABELECIMENTO (Indústria)</t>
  </si>
  <si>
    <t>CRITÉRIOS DO AD REFERENDUM</t>
  </si>
  <si>
    <t>REGISTRO DE ESTABELECIMENTO</t>
  </si>
  <si>
    <t>REABILITAÇÃO DE REGISTRO PJ</t>
  </si>
  <si>
    <t>ANEXAR O ARQUIVO DO PROCEDIMENTO NO GED</t>
  </si>
  <si>
    <t>PROTOCOLO INTERNO DE AD REFERENDUM</t>
  </si>
  <si>
    <t>CONTRATO COM PRAZO DETERMINADO</t>
  </si>
  <si>
    <t>PADRÕES PARA SALVAR ARQUIVOS NO GED</t>
  </si>
  <si>
    <t>TERMO DE COMPROMISSO DO PROFISSIONAL</t>
  </si>
  <si>
    <t>MODALIDADE DAP</t>
  </si>
  <si>
    <t>MODALIDADE SUBSTITUTO</t>
  </si>
  <si>
    <t>REQUERIMENTO DO ESTABELECIMENTO (Posto de Coleta/Laboratório de Análises Clínicas)</t>
  </si>
  <si>
    <t>CONTRATO DE PRESTAÇÃO DE SERVIÇOS</t>
  </si>
  <si>
    <t>CTPS DIGITAL</t>
  </si>
  <si>
    <t>CTPS FÍSICA</t>
  </si>
  <si>
    <t>E-SOCIAL</t>
  </si>
  <si>
    <t>SERVIDOR PÚBLICO</t>
  </si>
  <si>
    <t>PROCESSO SELETIVO SIMPLIFICADO</t>
  </si>
  <si>
    <t>CONTRATO DE PRESTAÇÃO DE SERVIÇOS COM EMPRESA TERCEIRA PRIVADA</t>
  </si>
  <si>
    <t>CONTRATO POR CREDENCIAMENTO COM EMPRESAS TERCEIRA E ÓRGÃOS PÚBLICOS</t>
  </si>
  <si>
    <t>POSTO DE COLETA/LABORATÓRIO DE ANÁLISES CLÍNICAS</t>
  </si>
  <si>
    <t>HOSPITALAR</t>
  </si>
  <si>
    <t>MANIPULAÇÃO - SE HOUVER HOMEOPATIA</t>
  </si>
  <si>
    <t>INDÚSTRIA</t>
  </si>
  <si>
    <t>INGRESSO POR EMPRESA TERCEIRIZADA</t>
  </si>
  <si>
    <t>NORMA</t>
  </si>
  <si>
    <t>ÓRGÃO</t>
  </si>
  <si>
    <t>ASSUNTO</t>
  </si>
  <si>
    <t>ANVISA</t>
  </si>
  <si>
    <t>STJ</t>
  </si>
  <si>
    <t>CFQ</t>
  </si>
  <si>
    <t>CFF</t>
  </si>
  <si>
    <t>PLANALTO</t>
  </si>
  <si>
    <t>CURITIBA</t>
  </si>
  <si>
    <t>Boas Práticas de Farmacovigilância para Detentores de Registro de Medicamento de uso humano, e dá outras providências.</t>
  </si>
  <si>
    <t>Regulamenta o procedimento de fiscalização dos Conselhos Regionais de Farmácia e dá outras providências.</t>
  </si>
  <si>
    <t>RESOLUÇÃO Nº 2</t>
  </si>
  <si>
    <t>Regulamento de Fiscalização de Produtos de Uso Veterinário </t>
  </si>
  <si>
    <t>LINK</t>
  </si>
  <si>
    <t>LEI</t>
  </si>
  <si>
    <t>TRAMITAÇÃO DO PROTOCOLO PARA CONFERÊNCIA</t>
  </si>
  <si>
    <t>Venda de medicamentos por delivery</t>
  </si>
  <si>
    <t>Valores anuidade 2026</t>
  </si>
  <si>
    <t>CLÍNICA DE ESTÉTICA</t>
  </si>
  <si>
    <t>ARMAZENADORA DE MEDICAMENTOS E PRODUTOS PARA SAÚDE</t>
  </si>
  <si>
    <t>BANCO DE LEITE HUMANO</t>
  </si>
  <si>
    <t>CENTRAL DE ABASTECIMENTO FARMACÊUTICO</t>
  </si>
  <si>
    <t>CLÍNICA DE SERVIÇOS DE VACINAÇÃO</t>
  </si>
  <si>
    <t>CLÍNICA ESTÉTICA</t>
  </si>
  <si>
    <t>CONSULTÓRIO FARMACÊUTICO</t>
  </si>
  <si>
    <t>CONTROLE DE VETORES E PRAGAS URBANAS</t>
  </si>
  <si>
    <t>DISTRIBUIDOR/IMPORTADOR DE MEDICAMENTOS, COSMÉTICOS, PRODUTOS DE HIGIENE PESSOAL</t>
  </si>
  <si>
    <t>DISTRIBUIDOR/IMPORTADOR/EXPORTADOR DE COSMÉTICO</t>
  </si>
  <si>
    <t>DISTRIBUIDOR/IMPORTADOR/EXPORTADOR DE PRODUTOS PARA SAÚDE</t>
  </si>
  <si>
    <t>DISTRIBUIDOR/IMPORTADOR/EXPORTADOR DE MEDICAMENTOS</t>
  </si>
  <si>
    <t>EMPRESA ARMAZENADORA DE CORRELATOS</t>
  </si>
  <si>
    <t>EMPRESA ARMAZENADORA DE MEDICAMENTOS</t>
  </si>
  <si>
    <t>ERVANARIA</t>
  </si>
  <si>
    <t>FARMÁCIA COM MANIPULAÇÃO</t>
  </si>
  <si>
    <t>FARMÁCIA COM MANIPULAÇÃO ALOPÁTICA E HOMEOPÁTICA</t>
  </si>
  <si>
    <t>FARMÁCIA DE ASSISTÊNCIA DOMICILIAR</t>
  </si>
  <si>
    <t>FARMÁCIA EQUIVALENTE A HOSPITALAR</t>
  </si>
  <si>
    <t>FARMÁCIA HOMEOPÁTICA</t>
  </si>
  <si>
    <t>FARMÁCIA HOSPITALAR</t>
  </si>
  <si>
    <t>FARMÁCIA PRIVATIVA DE EMPRESA OU ASSOCIAÇAO</t>
  </si>
  <si>
    <t>FARMÁCIA SEM MANIPULAÇÃO OU DROGARIA</t>
  </si>
  <si>
    <t>IMPORTADOR/EXPORTADOR DE MEDICAMENTOS</t>
  </si>
  <si>
    <t>IMPORTADOR/EXPORTADOR DE PRODUTOS PARA SAÚDE</t>
  </si>
  <si>
    <t>INDÚSTRIA DE ALIMENTOS</t>
  </si>
  <si>
    <t>INDÚSTRIA DE ALIMENTOS FUNCIONAIS/ESPECIAIS</t>
  </si>
  <si>
    <t>INDÚSTRIA DE COSMÉTICOS/PERFUMARIA</t>
  </si>
  <si>
    <t>INDÚSTRIA DE INSUMOS</t>
  </si>
  <si>
    <t>INDÚSTRIA DE MEDICAMENTOS E OUTRAS INDÚSTRIAS</t>
  </si>
  <si>
    <t>INDÚSTRIA DE PRODUTOS FARMACOPEICOS/FITOTERÁPICOS</t>
  </si>
  <si>
    <t>INDÚSTRIA DE PRODUTOS PARA SAÚDE</t>
  </si>
  <si>
    <t>INDÚSTRIA DE SANEANTES</t>
  </si>
  <si>
    <t>INDÚSTRIA FARMACÊUTICA HOMEOPÁTICA</t>
  </si>
  <si>
    <t>LABORATÓRIO DE ANÁLISES CLÍNICAS</t>
  </si>
  <si>
    <t>LABORATÓRIO DE AGÊNCIA TRANSFUSIONAL</t>
  </si>
  <si>
    <t>LABORATÓRIO DE CONTROLE DE QUALIDADE</t>
  </si>
  <si>
    <t>LABORATÓRIO DE CONTROLE DE QUALIDADE/ANÁLISES BROMATOLÓGICAS</t>
  </si>
  <si>
    <t>LABORATÓRIO DE ESTERILIZAÇÃO</t>
  </si>
  <si>
    <t>LABORATÓRIO DE PESQUISA</t>
  </si>
  <si>
    <t>LABORATÓRIO DE PESQUISA/DESENVOLVIMENTO DE MEDICAMENTOS</t>
  </si>
  <si>
    <t>LABORATÓRIO INDUSTRIAL</t>
  </si>
  <si>
    <t>NASF</t>
  </si>
  <si>
    <t>OPERADOR LOGÍSTICO</t>
  </si>
  <si>
    <t>OUTRAS DISTRIBUIDORAS</t>
  </si>
  <si>
    <t>OUTRAS INDÚSTRIAS</t>
  </si>
  <si>
    <t>OUTROS LABORATÓRIOS</t>
  </si>
  <si>
    <t>POSTO DE COLETA</t>
  </si>
  <si>
    <t>PRESTAÇÃO DE SERVIÇOS FARMACÊUTICOS</t>
  </si>
  <si>
    <t>SERVIÇO DE ACUPUNTURA</t>
  </si>
  <si>
    <t>SERVIÇO DE HEMOTERAPIA/BANCO DE SANGUE</t>
  </si>
  <si>
    <t>TRANSPORTADORA</t>
  </si>
  <si>
    <t>PRESTADORA DE SERVIÇOS</t>
  </si>
  <si>
    <t>LANÇAMENTO DA SITUAÇÃO RESPONSÁVEL TÉCNICO CONFORME O VÍNCULO</t>
  </si>
  <si>
    <t>LANÇAMENTO DE status - PROTOCOLO FINALIZADO</t>
  </si>
  <si>
    <t>LANÇAMENTO DE status - PROTOCOLO IRREGULAR</t>
  </si>
  <si>
    <t>PROFISSIONAIS QUE POSSUEM OUTRA RT OU ATIVIDADE</t>
  </si>
  <si>
    <t>PRAZOS E ASSISTÊNCIA POR TIPOS DE ESTABELECIMENTO</t>
  </si>
  <si>
    <t>CRF</t>
  </si>
  <si>
    <t>DESINSETIZADORAS</t>
  </si>
  <si>
    <t>DISTRIBUIDORA - OUTRAS</t>
  </si>
  <si>
    <t>DISTRIBUIDORA DE CORRELATOS E PROD. SAÚDE</t>
  </si>
  <si>
    <t>DISTRIBUIDORA DE COSMÉTICOS E PERFUMARIA</t>
  </si>
  <si>
    <t>DISTRIBUIDORA MEDICAMENTOS, INSUMOS E DROGAS</t>
  </si>
  <si>
    <t>DISTRIBUIDORA OU C.A.F. - ORGÃO PÚBLICO</t>
  </si>
  <si>
    <t>FARMÁCIA - ORGÃO PÚBLICO - MUNICIPAIS</t>
  </si>
  <si>
    <t>FARMÁCIA - ORGÃO PÚBLICO - REGIONAL DE SAÚDE</t>
  </si>
  <si>
    <t>FARMÁCIA EQUIVALENTE HOSPITALAR - PRIVADA</t>
  </si>
  <si>
    <t>FARMÁCIA EQUIVALENTE HOSPITALAR ORGÃO PÚBLICO</t>
  </si>
  <si>
    <t>FARMÁCIA HOSPITALAR - ORGÃO PÚBLICO</t>
  </si>
  <si>
    <t>FARMÁCIA HOSPITALAR - PRIVADA</t>
  </si>
  <si>
    <t>FARMÁCIA SEM MANIPULAÇÃO - PROP. LEIGO</t>
  </si>
  <si>
    <t>FARMÁCIA SEM MANIPULAÇÃO PROP. FARMACÊUTICO</t>
  </si>
  <si>
    <t>FARMÁCIA SEM MANIPULAÇÃO PROP.OFICIAL FARM.</t>
  </si>
  <si>
    <t>FARMÁCIA COM MANIPULAÇÃO - PROP. FARMACEUTICO</t>
  </si>
  <si>
    <t>FARMÁCIA COM MANIPULAÇÃO - PROP. LEIGO</t>
  </si>
  <si>
    <t>FARMÁCIA HOMEOPÁTICA - PROP. FARMACÊUTICO</t>
  </si>
  <si>
    <t>FARMÁCIA HOMEOPÁTICA - PROP. LEIGO</t>
  </si>
  <si>
    <t>INDÚSTRIAS - OUTRAS</t>
  </si>
  <si>
    <t>INDÚSTRIAS DE CORRELATOS E PROD. SAÚDE</t>
  </si>
  <si>
    <t>INDÚSTRIAS DE COSMÉTICOS E PERFUMARIA</t>
  </si>
  <si>
    <t>INDÚSTRIAS DE MEDICAMENTOS, INSUMOS E DROGAS</t>
  </si>
  <si>
    <t>LABORATÓRIO - OUTROS</t>
  </si>
  <si>
    <t>LABORATÓRIO ANÁLISE CLÍNICAS - ORGÃO PÚBLICO</t>
  </si>
  <si>
    <t>LABORATÓRIO ANÁLISE CLÍNICAS - PROP. LEIGO</t>
  </si>
  <si>
    <t>LABORATÓRIO ANÁLISE CLÍNICAS PROP.FARMACÊUTICO</t>
  </si>
  <si>
    <t>LABORATÓRIO DE CONTROLE QUALIDADE</t>
  </si>
  <si>
    <t>OUTROS ESTABELECIMENTOS</t>
  </si>
  <si>
    <t>POSTO DE MEDICAMENTO</t>
  </si>
  <si>
    <t>SERVIÇOS EM SAÚDE E ESTÉTICA</t>
  </si>
  <si>
    <t>TIPO ESTABELECIMENTO</t>
  </si>
  <si>
    <t>Critérios e condições mínimas para o cumprimento das Boas Práticas Farmacêuticas para o controle sanitário do funcionamento, da dispensação e da comercialização de produtos e da prestação de serviços farmacêuticos em farmácias e drogarias</t>
  </si>
  <si>
    <t>Responsabilidade técnica por uma farmácia e uma drogaria ou por duas drogarias.</t>
  </si>
  <si>
    <t>Competência dos Profissionais da Química</t>
  </si>
  <si>
    <t>Inscrição, o registro, o cancelamento, a baixa e a averbação nos Conselhos Regionais de Farmácia</t>
  </si>
  <si>
    <t>Atividades econômicas de interesse à saúde, segundo a Classificação Nacional de Atividades (CNAE), que necessitam de análise e avaliação prévia pela Vigilância Sanitária Municipal para a emissão da Licença Sanitária no Município de Curitiba/PR.</t>
  </si>
  <si>
    <t>Licenciamento sanitário inicial e de renovação para os estabelecimentos de interesse a saúde pela Vigilância Sanitária Municipal</t>
  </si>
  <si>
    <t>PLANO DE FISCALIZAÇÃO ANUAL</t>
  </si>
  <si>
    <t>Fiscalização</t>
  </si>
  <si>
    <t>SÚMULA 413</t>
  </si>
  <si>
    <t>RESOLUÇÃO Nº 14 DE 22/08/2024</t>
  </si>
  <si>
    <t>RDC Nº 44 DE 17/08/2009</t>
  </si>
  <si>
    <t>RESOLUÇÃO Nº 724 DE 29/04/2022</t>
  </si>
  <si>
    <t>SESA</t>
  </si>
  <si>
    <t>RESOLUÇÃO Nº 590</t>
  </si>
  <si>
    <t>DELIBERAÇÃO 894/16</t>
  </si>
  <si>
    <t>DECRETO Nº 85.878 DE 7/04/1981</t>
  </si>
  <si>
    <t xml:space="preserve">Dispõe sobre o quadro de identificação do Farmacêutico. </t>
  </si>
  <si>
    <t xml:space="preserve">RESOLUÇÃO 18/2025 </t>
  </si>
  <si>
    <t>RESOLUÇÃO Nº 701 DE 26/02/2021</t>
  </si>
  <si>
    <t>RESOLUÇÃO Nº 5 DE 02/12/2025</t>
  </si>
  <si>
    <t>RESOLUÇÃO Nº 224 DE 18/12/2009</t>
  </si>
  <si>
    <t>LABORATÓRIOS</t>
  </si>
  <si>
    <t>VAREJISTA</t>
  </si>
  <si>
    <t>DISTRIBUIDORA</t>
  </si>
  <si>
    <t>INDÚSTRIAS</t>
  </si>
  <si>
    <t>Salário por hora</t>
  </si>
  <si>
    <t>VAREJISTA Salário ingresso (1º registro em carteira)</t>
  </si>
  <si>
    <t>RESOLUÇÃO Nº 700 DE 29/01/2021</t>
  </si>
  <si>
    <t>DECRETO Nº 8.448 DE 06/05/2015</t>
  </si>
  <si>
    <t>DECRETO Nº 5.053 DE 22/04/2004</t>
  </si>
  <si>
    <t>RDC Nº 887 DE 11/07/2024</t>
  </si>
  <si>
    <t>RDC Nº 870 DE 17/05/2024</t>
  </si>
  <si>
    <t>RDC Nº 406 DE 22/07/2020</t>
  </si>
  <si>
    <t>MENU DE DELIBERAÇÕES DO CRF-PR</t>
  </si>
  <si>
    <t>Deliberações</t>
  </si>
  <si>
    <t>Atribuições privativas dos profissionais farmacêuticos.</t>
  </si>
  <si>
    <t>Institui a Declaração de Atividade Profissional (DAP).</t>
  </si>
  <si>
    <t>Código de Ética, o Código de Processo Ético Farmacêutico.</t>
  </si>
  <si>
    <t>Notificação, o registro e as mudanças pós-registro de gases medicinais enquadrados como medicamentos.</t>
  </si>
  <si>
    <t>Digite o nome da cidade (sem acentos ou sinais)</t>
  </si>
  <si>
    <r>
      <t>(Quando realizar o REGISTRO no SAGICON, o padrão abaixo trata-se do</t>
    </r>
    <r>
      <rPr>
        <b/>
        <sz val="10"/>
        <color theme="1"/>
        <rFont val="Calibri"/>
        <family val="2"/>
        <scheme val="minor"/>
      </rPr>
      <t xml:space="preserve"> NOME FANTASIA</t>
    </r>
    <r>
      <rPr>
        <sz val="10"/>
        <color theme="1"/>
        <rFont val="Calibri"/>
        <family val="2"/>
        <scheme val="minor"/>
      </rPr>
      <t>)</t>
    </r>
  </si>
  <si>
    <t>PADRÃO A SER SEGUIDO:</t>
  </si>
  <si>
    <t>Para calcular o salário proporcional, informe a quantidade de horas semanais.</t>
  </si>
  <si>
    <t>PRE CADASTRO PJ</t>
  </si>
  <si>
    <t>ARMAZENADORA - MEDICAMENTOS E CORRELATOS</t>
  </si>
  <si>
    <t>BANCO DE ÓRGÃOS</t>
  </si>
  <si>
    <t>CENTRAL DE ABASTECIMENTO FARMACEUTICO</t>
  </si>
  <si>
    <t>CENTRAL DE ABASTECIMENTO HOSPITALAR</t>
  </si>
  <si>
    <t>CLÍNICA FARMACÊUTICA</t>
  </si>
  <si>
    <t>CONSULTORIO FARMACEUTICO</t>
  </si>
  <si>
    <t xml:space="preserve">DEPOSITO FECHADO </t>
  </si>
  <si>
    <t>DIST./IMP. MED.,COSM.,PROD. HIG. PESSOAL</t>
  </si>
  <si>
    <t>DISTRIBUIDOR/COMERCIO GASES MEDICINAIS</t>
  </si>
  <si>
    <t>DISTRIBUIDOR/IMPORT./EXPORT. CORRELATOS</t>
  </si>
  <si>
    <t>DISTRIBUIDOR/IMPORT./EXPORT. COSMETICO</t>
  </si>
  <si>
    <t>DISTRIBUIDOR/IMPORT./EXPORT. MEDICAMENTO</t>
  </si>
  <si>
    <t>EMPRESA ARMAZENADORA DE COSMÉTICOS</t>
  </si>
  <si>
    <t>EMPRESA DE CONSULTORIA</t>
  </si>
  <si>
    <t>FARMACIA COM MANIPULACAO</t>
  </si>
  <si>
    <t>FARMACIA COM MANIPULACAO ALOPATICA E HOM</t>
  </si>
  <si>
    <t>FARMACIA EQUIVALENTE A HOSPITALAR</t>
  </si>
  <si>
    <t>FARMACIA HOMEOPATICA</t>
  </si>
  <si>
    <t>FARMACIA HOSPITALAR</t>
  </si>
  <si>
    <t>FARMACIA PRIVATIVA EMPRESA/ASSOCIAÇAO</t>
  </si>
  <si>
    <t xml:space="preserve">FARMACIA SEM MANIPULAÇAO OU DROGARIA </t>
  </si>
  <si>
    <t>INDUSTRIA COSMETICOS/PERFUMARIA</t>
  </si>
  <si>
    <t>INDUSTRIA DE ALIMENTOS</t>
  </si>
  <si>
    <t>INDUSTRIA DE CORRELATOS</t>
  </si>
  <si>
    <t>INDUSTRIA DE INSUMOS</t>
  </si>
  <si>
    <t>INDUSTRIA DE PRODUTOS FARMACOPEICOS/FITO</t>
  </si>
  <si>
    <t>INDUSTRIA DE SANEANTES</t>
  </si>
  <si>
    <t>INDUSTRIA FARMACEUTICA</t>
  </si>
  <si>
    <t>INDUSTRIA FARMACEUTICA HOMEOPATICA</t>
  </si>
  <si>
    <t>LAB PESQUISA/DESENVOLVIMENTO MEDICAMENTO</t>
  </si>
  <si>
    <t>LAB. PESQUISA/DESENVOLVIMENTO PROD SAUDE</t>
  </si>
  <si>
    <t>LABORATORIO ANALISES CLINICAS</t>
  </si>
  <si>
    <t>LABORATORIO DE  ESTERILIZACAO</t>
  </si>
  <si>
    <t>LABORATORIO DE AGENCIA TRANSFUSIONAL</t>
  </si>
  <si>
    <t>LABORATORIO DE CONTROLE DE QUALIDADE</t>
  </si>
  <si>
    <t>LABORATORIO DE PESQUISA</t>
  </si>
  <si>
    <t>LABORATORIO INDUSTRIAL</t>
  </si>
  <si>
    <t>OUTRAS INDUSTRIAS</t>
  </si>
  <si>
    <t>OUTROS</t>
  </si>
  <si>
    <t>OUTROS - FARMACIA ASSISTENCIA DOMICILIAR</t>
  </si>
  <si>
    <t>OUTROS LABORATORIOS</t>
  </si>
  <si>
    <t>SERVIÇO DE HEMOTERAPIA/ BANCO DE SANGUE</t>
  </si>
  <si>
    <t>SOFTWARE</t>
  </si>
  <si>
    <t>FARMACEUTICO</t>
  </si>
  <si>
    <t>TECNICO</t>
  </si>
  <si>
    <t>Tipo Estab.</t>
  </si>
  <si>
    <t>Nome Estab.</t>
  </si>
  <si>
    <t xml:space="preserve">Nº Prot. </t>
  </si>
  <si>
    <t>Insc.</t>
  </si>
  <si>
    <t>Pendência documental</t>
  </si>
  <si>
    <t>Aguarda</t>
  </si>
  <si>
    <t>Correção interna</t>
  </si>
  <si>
    <t>Boas práticas de distribuição, armazenagem, transporte e dispensação de gases medicinais, e dá outras providências. </t>
  </si>
  <si>
    <t>LISTAS DE ORIENTAÇÕES</t>
  </si>
  <si>
    <t>RESPOSTAS PADRÃO</t>
  </si>
  <si>
    <t>110991 </t>
  </si>
  <si>
    <t>FARMÁCIA ÁGUAS CLARAS LTDA.</t>
  </si>
  <si>
    <t>106044 </t>
  </si>
  <si>
    <t>BRANT &amp; BERGAMINI LTDA</t>
  </si>
  <si>
    <t>26109300 </t>
  </si>
  <si>
    <t>PULSOMED BRASIL LTDA</t>
  </si>
  <si>
    <t>26109933 </t>
  </si>
  <si>
    <t> CLINICA SCHMEGUEL LIMITADA</t>
  </si>
  <si>
    <t>26109239 </t>
  </si>
  <si>
    <t>PLÁTANO LABORATÓRIOS LTDA FL 09</t>
  </si>
  <si>
    <t>MUNICÍPIO DE FRANCISCO ALVES</t>
  </si>
  <si>
    <t>NOVO NORDISK FARMACÊUTICA DO BRASIL LTDA</t>
  </si>
  <si>
    <t>26110084 </t>
  </si>
  <si>
    <t>FARMÁCIA IRMÃOS PAVESI LTDA - FL 41</t>
  </si>
  <si>
    <t>26111858 </t>
  </si>
  <si>
    <t>J. MARTINEZ &amp; CIA LTDA - FL 07</t>
  </si>
  <si>
    <t>26110086 </t>
  </si>
  <si>
    <t>26110723 </t>
  </si>
  <si>
    <t>MUNICIPIO DE BOM SUCESSO</t>
  </si>
  <si>
    <t>26112982 </t>
  </si>
  <si>
    <t>FARMÁCIA DE MANIPULAÇÃO SANTA TEREZINHA LTDA ME</t>
  </si>
  <si>
    <t>55984 </t>
  </si>
  <si>
    <t>SCHNEIDER ANDRZEJEWSKI FARMÁCIA, ESTÉTICA E DISTRIBUIÇÃO LTDA  // whats app 20/03/26</t>
  </si>
  <si>
    <t xml:space="preserve">FLAVIA: orientou enviar dec ramo, após orientar sobre atividades conflitantes farma e estetica// </t>
  </si>
  <si>
    <t>MUNICÍPIO DE IMBAÚ</t>
  </si>
  <si>
    <t>PRE INSCRICAO PJ</t>
  </si>
  <si>
    <t>FABIOLA KORIN</t>
  </si>
  <si>
    <t>fafant@gmail.com</t>
  </si>
  <si>
    <t>VIP COLETAS LABORATORIAIS - EIRELI - ME</t>
  </si>
  <si>
    <t xml:space="preserve">escrita@cecopar.com.br // faltou contrato de prestação de serviços </t>
  </si>
  <si>
    <t>2673373 </t>
  </si>
  <si>
    <t>R M ANTUNES &amp; SANTOS LTDA</t>
  </si>
  <si>
    <t>INDEFERIR EM 30/03/26 // VER COM A FLAVIA SE BAIXO EX // oficiar para apresentar novo vínculo!!!</t>
  </si>
  <si>
    <t>2692275 </t>
  </si>
  <si>
    <t>MUNICÍPIO DE XAMBRÊ</t>
  </si>
  <si>
    <t>2693655 </t>
  </si>
  <si>
    <t>FUNDAÇÃO DE SAÚDE ITAIGUAPY.</t>
  </si>
  <si>
    <t>FLAVIA vai pedir para gabi diligência dos fiscais - segurar esse protocolo por ora. (em 17/03)</t>
  </si>
  <si>
    <t>2693947 </t>
  </si>
  <si>
    <t>THALIFARMA COM MEDICAMENTOS E PERFUMARIAS LTDA ME</t>
  </si>
  <si>
    <t xml:space="preserve"> INDEFERIR EM 31/03/2026 - FLAVIA falou para dar prazo até ultimo dia de março</t>
  </si>
  <si>
    <t>2696370 </t>
  </si>
  <si>
    <t>COMÉRCIO DE MEDICAMENTOS BRAIR LTDA - FL 1070.</t>
  </si>
  <si>
    <t>2696405 </t>
  </si>
  <si>
    <t>COMÉRCIO DE MEDICAMENTOS BRAIR LTDA - FL 861</t>
  </si>
  <si>
    <t> BARBOSA &amp; VERONEZ LTDA</t>
  </si>
  <si>
    <t>baixa RT</t>
  </si>
  <si>
    <t>26101409 </t>
  </si>
  <si>
    <t> PARFARMA - MEDICAMENTOS LTDA</t>
  </si>
  <si>
    <t xml:space="preserve"> INDEFERIR EM 31/03/2026 </t>
  </si>
  <si>
    <t>Outros</t>
  </si>
  <si>
    <t>NUTRIFOTON SUPLEMENTOS LTDA</t>
  </si>
  <si>
    <t>SILVIA: VER O QUE ACHA DO DOCUMENTO: dec da visa</t>
  </si>
  <si>
    <t>26101934 </t>
  </si>
  <si>
    <t>CETEL LABORATORIO CLINICO S/A</t>
  </si>
  <si>
    <t>26101938 </t>
  </si>
  <si>
    <t>CETEL LABORATÓRIO CLÍNICO S/A</t>
  </si>
  <si>
    <t>FARMÁCIA E DROGARIA NISSEI S/A FL 02</t>
  </si>
  <si>
    <t xml:space="preserve">FLAVIA indeferir e enviar no canal correto. Eu pedi alt. Contratual </t>
  </si>
  <si>
    <t>99986 </t>
  </si>
  <si>
    <t>MGT RIBEIRO &amp; CIA LTDA - ME</t>
  </si>
  <si>
    <t>26103385 </t>
  </si>
  <si>
    <t>MOVVI LOGÍSTICA LTDA</t>
  </si>
  <si>
    <t>CRUZ DE MALTA CERVEJAS ESPECIAIS LTDA</t>
  </si>
  <si>
    <t>26103579 </t>
  </si>
  <si>
    <t>FARMACIA SMC COM. DE PROD. FARMACÊUTICOS LTDA</t>
  </si>
  <si>
    <t>26103585 </t>
  </si>
  <si>
    <t>FUNDO MUNICIPAL DE SAÚDE DE ARAUCÁRIA</t>
  </si>
  <si>
    <t>26104197 </t>
  </si>
  <si>
    <t>JULIANO DE COSTA LTDA.</t>
  </si>
  <si>
    <t>LABMAR - LABORATORIO MEDICO DE MARINGA LTDA</t>
  </si>
  <si>
    <t>SOLICITEI POR E-MAIL TB</t>
  </si>
  <si>
    <t>26106057 </t>
  </si>
  <si>
    <t>MUNICÍPIO DE HONÓRIO SERPA</t>
  </si>
  <si>
    <t>26106735 </t>
  </si>
  <si>
    <t>CERVEJARIA CDM LTDA</t>
  </si>
  <si>
    <t>26105989 </t>
  </si>
  <si>
    <t>FARMÁCIA STRAFARMA LTDA EPP - FL 01</t>
  </si>
  <si>
    <t>26107757 </t>
  </si>
  <si>
    <t>MARGOT ESTÉTICA E SAÚDE LTDA</t>
  </si>
  <si>
    <t xml:space="preserve">DIRETORIA: EM RELAÇÃO AOS PROCEDIMENTOS. </t>
  </si>
  <si>
    <t>GIAMEDICAL PRODUTOS CIRÚRGICOS LTDA</t>
  </si>
  <si>
    <t>LUCELIA LESSEI GUBERT &amp; CIA LTDA</t>
  </si>
  <si>
    <t>26108658 </t>
  </si>
  <si>
    <t>DEBORA ALINE DE LIMA PEREIRA FERNANDES</t>
  </si>
  <si>
    <t>Renovado, porém o contrato veio faltando parte</t>
  </si>
  <si>
    <t>26116966 </t>
  </si>
  <si>
    <t>saude@imbau.pr.gov.br// documento com endereço. // SOLICITEI DOCUMENTO VIA E-MAIL REGISTRO.PJ NAS FÉRIAS DA SILVIA</t>
  </si>
  <si>
    <t>26109989 </t>
  </si>
  <si>
    <t>RAIA DROGASIL S.A. FL 819</t>
  </si>
  <si>
    <t>26111413 </t>
  </si>
  <si>
    <t>PHARMAGRAL FARMÁCIA DE MANIPULAÇÃO LTDA - FL 01</t>
  </si>
  <si>
    <t>26111936 </t>
  </si>
  <si>
    <t>CERVEJARIA 04 BODES LTDA</t>
  </si>
  <si>
    <t>26112855 </t>
  </si>
  <si>
    <t>DRA CARLA SUCOLOTTI LTDA</t>
  </si>
  <si>
    <t>FLAVIA: VER SOBRE A DOCUMENTAÇÃO A SOLICITAR, POS REUNIAO DE DIRETORIA</t>
  </si>
  <si>
    <t>DIMED S/A - DISTRIBUIDORA DE MEDICAMENTOS - FL 586</t>
  </si>
  <si>
    <t>26113297 </t>
  </si>
  <si>
    <t> UNIMED PONTA GROSSA COOP DE TRABALHO MÉDICO - FL 01</t>
  </si>
  <si>
    <t>PATRUS TRANSPORTES LTDA</t>
  </si>
  <si>
    <t>MUNICÍPIO DE UMUARAMA.</t>
  </si>
  <si>
    <t>P H DISTRIBUIDORA DE COSMETICOS LTDA</t>
  </si>
  <si>
    <t>112633 </t>
  </si>
  <si>
    <t>SANTA MARIA FARMACIA LTDA</t>
  </si>
  <si>
    <t>26112767 </t>
  </si>
  <si>
    <t>D. Z. DE CONTO BATISTUS LTDA.</t>
  </si>
  <si>
    <t>ANDRE CARDOSO FARMACIA LTDA</t>
  </si>
  <si>
    <t>26114657 </t>
  </si>
  <si>
    <t>BAIXA RT</t>
  </si>
  <si>
    <t>GAVISAVA LTDA</t>
  </si>
  <si>
    <t>26114943 </t>
  </si>
  <si>
    <t>PATOMEDI DISTRIBUIDORA DE MED E PRODUTOS HOSP LTDA</t>
  </si>
  <si>
    <t>26115120 </t>
  </si>
  <si>
    <t>26116043 </t>
  </si>
  <si>
    <t>SC DISTRIBUIÇÃO LTDA</t>
  </si>
  <si>
    <t>SÃO GABRIEL TRANSPORTES LTDA</t>
  </si>
  <si>
    <t>26116108 </t>
  </si>
  <si>
    <t>LOURDES PRECISA ENVIAR MODELO DE E-MAIL DE BAIXA, PARA ENVIAR SOLICITANDO BX DO CNPJ 15.488.297/0071-66, QUE FOI EXTINTO EM 31/03/26</t>
  </si>
  <si>
    <t>26116128 </t>
  </si>
  <si>
    <t>MUNICÍPIO DE IGUATU</t>
  </si>
  <si>
    <t>26116190 </t>
  </si>
  <si>
    <t>LABMED LABORATÓRIO MÉDICO DE LONDRINA LTDA</t>
  </si>
  <si>
    <t>FLAVIA VER SITUAÇÃO EMPRESA COM BX RFB EM 2023 RT ATUANTE</t>
  </si>
  <si>
    <t>26116826 </t>
  </si>
  <si>
    <t>PARFARMA - MEDICAMENTOS LTDA</t>
  </si>
  <si>
    <t>26116306 </t>
  </si>
  <si>
    <t> FARMÁCIA KALUG LTDA ME - FL 14.</t>
  </si>
  <si>
    <t>PASSEI P/ LOURDES VERIFICAR QUE FOI RETIRADO DE PAUTA</t>
  </si>
  <si>
    <t>26118120 </t>
  </si>
  <si>
    <t>TOSHIFUMI TAKEMOTO &amp; CIA LTDA ME FL 01</t>
  </si>
  <si>
    <t>26118174 </t>
  </si>
  <si>
    <t>PASIN &amp; MARAN LTDA</t>
  </si>
  <si>
    <t>SÃO GABRIEL TRANSPORTES LTDA - FL 35</t>
  </si>
  <si>
    <t>26118488 </t>
  </si>
  <si>
    <t>LIGFARMA COMÉRCIO DE MEDICAMENTOS LTDA</t>
  </si>
  <si>
    <t>PLATANO LABORATÓRIOS SS LTDA</t>
  </si>
  <si>
    <t xml:space="preserve">PLÁTANO LABORATÓRIOS LTDA </t>
  </si>
  <si>
    <t xml:space="preserve">FLAVIA VER O QUE FAZER NOME DO PROF SOCIO AIRTON E TB DO SOCIO REG POLICLINICA. </t>
  </si>
  <si>
    <t>26101205 </t>
  </si>
  <si>
    <t>ANA CAROLINE SKRUCH FRANCO</t>
  </si>
  <si>
    <t>26103533 </t>
  </si>
  <si>
    <t>ALESSANDRA SANTOS DA SILVA</t>
  </si>
  <si>
    <t>ANDERSON MIRABAL BENTES</t>
  </si>
  <si>
    <t>CAMILA SILVA BEZERRA</t>
  </si>
  <si>
    <t>MAYARA MACIEL</t>
  </si>
  <si>
    <t xml:space="preserve">flavia ver o que fazer, pois farma atuou sem vínculo </t>
  </si>
  <si>
    <t>baixa rt</t>
  </si>
  <si>
    <t>26111056 </t>
  </si>
  <si>
    <t>LDJ COMERCIO DE MEDICAMENTOS E PERFUMARIA LTDA</t>
  </si>
  <si>
    <t>baixa de rt</t>
  </si>
  <si>
    <t>116950 </t>
  </si>
  <si>
    <t> BITTAR E HIRT COMERCIAL LTDA - ME</t>
  </si>
  <si>
    <t>VIEIRA &amp; ANTONIO COMÉRCIO DE MEDICAMENTOS LTDA ME</t>
  </si>
  <si>
    <t>E F UNOKI LTDA</t>
  </si>
  <si>
    <t>VITAL TERAPIAS INTEGRATIVAS LTDA</t>
  </si>
  <si>
    <t>ver alterações na matriz tb</t>
  </si>
  <si>
    <t>120285 </t>
  </si>
  <si>
    <t>CENTRO DE ANÁLISES CLÍNICAS SANT'ANA LTDA - FL 01.</t>
  </si>
  <si>
    <t>26119718 </t>
  </si>
  <si>
    <t>FARMACIA RONDON LTDA</t>
  </si>
  <si>
    <t>26119903 </t>
  </si>
  <si>
    <t>MUNICIPIO DE COLOMBO</t>
  </si>
  <si>
    <t>26120660 </t>
  </si>
  <si>
    <t> WENDLAND FARMÁCIA LTDA - FL 03</t>
  </si>
  <si>
    <t>26121042 </t>
  </si>
  <si>
    <t>SHIMADA &amp; ROSSI LTDA - ME</t>
  </si>
  <si>
    <t>26121608 </t>
  </si>
  <si>
    <t>ADATIHARA , ADATIHARA &amp; CIA LTDA ME</t>
  </si>
  <si>
    <t>26122324 </t>
  </si>
  <si>
    <t>CENTRO DE ANÁLISES CLÍNICAS SANT'ANA LTDA - FL 01</t>
  </si>
  <si>
    <t>26122735 </t>
  </si>
  <si>
    <t>NUBIA HATSUMI KUWAHARA - ME</t>
  </si>
  <si>
    <t>DROGARIA E FARMACIA NOCERA LTDA</t>
  </si>
  <si>
    <t>26123689 </t>
  </si>
  <si>
    <t>NEOCARE COMERCIAL LTDA</t>
  </si>
  <si>
    <t>26123769 </t>
  </si>
  <si>
    <t>INOVARE FARMÁCIA DE ARAPONGAS LTDA</t>
  </si>
  <si>
    <t>TOSHIFUMI TAKEMOTO &amp; CIA LTDA</t>
  </si>
  <si>
    <t>26124508 </t>
  </si>
  <si>
    <t>MUNICÍPIO DE SÃO MIGUEL DO IGUAÇU</t>
  </si>
  <si>
    <t>26124539 </t>
  </si>
  <si>
    <t>MUNICÍPIO DE CAFELÂNDIA</t>
  </si>
  <si>
    <t>UNIVERSIDADE ESTADUAL DO OESTE PARANÁ</t>
  </si>
  <si>
    <t>26124885 </t>
  </si>
  <si>
    <t>26124936 </t>
  </si>
  <si>
    <t>EMPRESA BRASILEIRA DE CORREIOS E TELEGRAFOS</t>
  </si>
  <si>
    <t>26125337 </t>
  </si>
  <si>
    <t>FUNDAÇÃO MUNICIPAL DE SAÚDE DE FOZ DO IGUAÇU</t>
  </si>
  <si>
    <t>26125081 </t>
  </si>
  <si>
    <t> SÃO GABRIEL TRANSPORTES LTDA</t>
  </si>
  <si>
    <t>COMÉRCIO DE MEDICAMENTOS BRAIR LTDA - FL 878</t>
  </si>
  <si>
    <t>A. ANGELONI &amp; CIA LTDA - FL 85</t>
  </si>
  <si>
    <t>RAIA DROGASIL S/A - FL 1723.</t>
  </si>
  <si>
    <t>26123909 </t>
  </si>
  <si>
    <t> PHARM4U FARMACIA DE MANIPULACAO LTDA</t>
  </si>
  <si>
    <t>JLP REAL ANALISES LTDA</t>
  </si>
  <si>
    <t>26125521 </t>
  </si>
  <si>
    <t>DERMAHOF COMERCIO E SERVICOS ARTIGOS MEDICOS LTDA</t>
  </si>
  <si>
    <t>DEMANDA</t>
  </si>
  <si>
    <t>Minha carteira marrom não chegou, como faço?</t>
  </si>
  <si>
    <t>26125633 </t>
  </si>
  <si>
    <t> PROVIDE HOSPITALAR LTDA</t>
  </si>
  <si>
    <t>Alteração da inscrição provisória para definitiva.</t>
  </si>
  <si>
    <t>Dúvidas sobre a regularidade</t>
  </si>
  <si>
    <t>Para pedido de registro ou reabilitação empresa que já tiveram inscrição ativa no CRF-PR</t>
  </si>
  <si>
    <t>Para solicitar o ingresso de Responsabilidade Técnica junto ao CRF-PR, siga as instruções abaixo:
Reúna os documentos obrigatórios disponíveis no link:
https://www.crf-pr.org.br/servico/view/38/ingresso-de-responsabilidade-tecnica
(Os formulários necessários devem ser gerados pelo profissional por meio do sistema e-Form: https://servicos.crf-pr.org.br/
, no acesso de Pessoa Física, utilizando o CPF e a mesma senha do CRF-PR em Casa, no menu superior “Formulários de Serviços” &gt; “Serviços”.)
Acesse o sistema CRF-PR em Casa no perfil de Pessoa Jurídica:
https://crfemcasa.crf-pr.org.br/crf-em-casa/login.jsf
No menu, acesse: “Serviços” &gt; “Ingresso de Responsabilidade Técnica/Mudança de Horário”.
Preencha todos os campos do formulário.
Ao final, anexe os documentos obrigatórios.
Após o envio, a análise será realizada no prazo de até 07 (sete) dias úteis.
Acompanhe o andamento do protocolo pelo CRF-PR em Casa, no menu “Protocolos Gerados na Web”.
⚠️ Para maior agilidade na análise, certifique-se de anexar toda a documentação obrigatória no momento da solicitação.</t>
  </si>
  <si>
    <t>Ingresso de responsabilidade técnica</t>
  </si>
  <si>
    <t>Não consigo acessar meu CRF em casa</t>
  </si>
  <si>
    <t>REDE Gostaria de verificar a situação de transferência de uma profissional para o CRF-PR.</t>
  </si>
  <si>
    <t>26126601 </t>
  </si>
  <si>
    <t>AUTARQUIA MUNICIPAL DE SAÚDE DE CAMBIRA</t>
  </si>
  <si>
    <t xml:space="preserve">OFICIAR NA SEGUNDA 26/03, POIS COM A ESCALA ANALISADA NÃO É POSSÍVEL COMPROVAR ASSITÊNCIA INTEGRAL. </t>
  </si>
  <si>
    <t>26126604 </t>
  </si>
  <si>
    <t>INSTITUTO DE NEUROLOGIA DE CURITIBA S/A.</t>
  </si>
  <si>
    <t>26126682 </t>
  </si>
  <si>
    <t>FUNDO MUNICIPAL DE SAUDE DE ARAUCARIA</t>
  </si>
  <si>
    <t>26126720 </t>
  </si>
  <si>
    <t>PREFEITURA MUNICIPAL DE SANTA FE</t>
  </si>
  <si>
    <t>26126705 </t>
  </si>
  <si>
    <t>26126898 </t>
  </si>
  <si>
    <t>V V IRMÃOS ASSOCIADOS LTDA</t>
  </si>
  <si>
    <t>26127047 </t>
  </si>
  <si>
    <t>SCALATA DISTRIBUIDORA DE COSMÉTICOS LTDA</t>
  </si>
  <si>
    <t>26128164 </t>
  </si>
  <si>
    <t> S BARBOSA E M BARBOSA LTDA</t>
  </si>
  <si>
    <t>26128257 </t>
  </si>
  <si>
    <t>MUNICÍPIO DE UMUARAMA</t>
  </si>
  <si>
    <t>26128768 </t>
  </si>
  <si>
    <t>MUNICÍPIO DE PAIÇANDU</t>
  </si>
  <si>
    <t>FLAVIA ver como faz com mei - estética</t>
  </si>
  <si>
    <t>FLAVIA VER SE ENVIO PARA ETICA????</t>
  </si>
  <si>
    <t xml:space="preserve">
Para obter informações sobre a regularidade da assistência farmacêutica, é necessária a verificação por meio do sistema CRF em Casa, disponível em: https://crfemcasa.crf-pr.org.br/crf-em-casa/login.jsf , a ser realizada pelo representante legal da empresa.
Por se tratar de protocolo recente, orientamos acessar o menu “Protocolos Web”, localizar o nº do protocolo, para consultar o parecer. Caso haja alguma irregularidade, esta estará devidamente informada no sistema.
Adicionalmente, caso seja identificada irregularidade na assistência farmacêutica, o estabelecimento também recebe uma comunicação por meio do e-mail cadastrado.</t>
  </si>
  <si>
    <t xml:space="preserve">
Informo que seu protocolo encontra-se em análise. Solicito, por gentileza, que aguarde e acompanhe a evolução por meio do sistema CRF em Casa nos próximos dias.</t>
  </si>
  <si>
    <t xml:space="preserve">
Informo que sua carteira profissional encontra-se em fase de emissão pelo Conselho Federal de Farmácia (CFF).
Enquanto isso, por meio do sistema CRF em Casa, é possível emitir a Declaração de Inscrição. Ademais, no site do CFF, disponível em: https://site.cff.org.br/cedula
, é possível acessar a cédula profissional digital, a qual possui a mesma validade jurídica do documento físico.</t>
  </si>
  <si>
    <r>
      <t xml:space="preserve">
Solicitamos que realize o processo conforme as orientações disponíveis no site: https://www.crf-pr.org.br/servico/view/41/registro
Ressaltamos a importância do envio da documentação completa para o e-mail: </t>
    </r>
    <r>
      <rPr>
        <b/>
        <sz val="11"/>
        <color theme="1"/>
        <rFont val="Calibri"/>
        <family val="2"/>
        <scheme val="minor"/>
      </rPr>
      <t>registro.pj@crf-pr.org.br</t>
    </r>
    <r>
      <rPr>
        <sz val="11"/>
        <color theme="1"/>
        <rFont val="Calibri"/>
        <family val="2"/>
        <scheme val="minor"/>
      </rPr>
      <t xml:space="preserve">
 Após a conclusão dessa primeira etapa, será liberado o acesso ao sistema CRF em Casa ao representante legal (administrador), para que seja possível finalizar o registro ou a reabilitação da empresa.
</t>
    </r>
  </si>
  <si>
    <t xml:space="preserve">Com relação a situação específica o ideal é que a profissional entre em contato com o CRF para averiguar sua situação. Ela já recebeu a Certidão de Transferência do outro CRF? </t>
  </si>
  <si>
    <t xml:space="preserve">REDE Gostaria de verificar a situação de um  profissional </t>
  </si>
  <si>
    <t xml:space="preserve">Com relação a situação específica o ideal é que a profissional entre em contato com o CRF para averiguar sua situação. </t>
  </si>
  <si>
    <t>PJ</t>
  </si>
  <si>
    <t>Como faço para baixar cancelar o registro PJ.</t>
  </si>
  <si>
    <r>
      <t xml:space="preserve">1. Para a baixa do registro do estabelecimento, é imprescindível, inicialmente, a baixa da Responsabilidade Técnica do farmacêutico diretor técnico, a qual deverá ser realizada conforme procedimento disponível no site do CRF/PR, no caminho: </t>
    </r>
    <r>
      <rPr>
        <b/>
        <i/>
        <sz val="11"/>
        <color theme="1"/>
        <rFont val="Calibri"/>
        <family val="2"/>
        <scheme val="minor"/>
      </rPr>
      <t xml:space="preserve">Serviços → Pessoa Física → Baixa de Responsabilidade Técnica.
</t>
    </r>
    <r>
      <rPr>
        <sz val="11"/>
        <color theme="1"/>
        <rFont val="Calibri"/>
        <family val="2"/>
        <scheme val="minor"/>
      </rPr>
      <t xml:space="preserve">
2. Após a conclusão da baixa da Responsabilidade Técnica, o representante legal do estabelecimento, ou procurador devidamente constituído, deverá requerer o cancelamento do registro da pessoa jurídica, por meio do site do CRF/PR, no caminho: </t>
    </r>
    <r>
      <rPr>
        <b/>
        <i/>
        <sz val="11"/>
        <color theme="1"/>
        <rFont val="Calibri"/>
        <family val="2"/>
        <scheme val="minor"/>
      </rPr>
      <t>Serviços → Mais Serviços à Pessoa Jurídica → Cancelamento de Registro de Pessoa Jurídica.</t>
    </r>
    <r>
      <rPr>
        <sz val="11"/>
        <color theme="1"/>
        <rFont val="Calibri"/>
        <family val="2"/>
        <scheme val="minor"/>
      </rPr>
      <t xml:space="preserve">
2.1 Ao protocolar o pedido de cancelamento, deverá ser anexada a documentação comprobatória pertinente, conforme o caso, observando-se uma das seguintes opções:
- </t>
    </r>
    <r>
      <rPr>
        <u/>
        <sz val="11"/>
        <color theme="1"/>
        <rFont val="Calibri"/>
        <family val="2"/>
        <scheme val="minor"/>
      </rPr>
      <t>Mudança na atividade comercial da empresa</t>
    </r>
    <r>
      <rPr>
        <sz val="11"/>
        <color theme="1"/>
        <rFont val="Calibri"/>
        <family val="2"/>
        <scheme val="minor"/>
      </rPr>
      <t xml:space="preserve">: apresentar alteração contratual devidamente arquivada na Junta Comercial do Paraná, contendo a modificação do objeto social;
- </t>
    </r>
    <r>
      <rPr>
        <u/>
        <sz val="11"/>
        <color theme="1"/>
        <rFont val="Calibri"/>
        <family val="2"/>
        <scheme val="minor"/>
      </rPr>
      <t>Mudança de Conselho de Classe Profissional</t>
    </r>
    <r>
      <rPr>
        <sz val="11"/>
        <color theme="1"/>
        <rFont val="Calibri"/>
        <family val="2"/>
        <scheme val="minor"/>
      </rPr>
      <t xml:space="preserve">: apresentar Certidão de Regularidade ou Anotação de Responsabilidade Técnica emitida pelo respectivo Conselho competente;
- </t>
    </r>
    <r>
      <rPr>
        <u/>
        <sz val="11"/>
        <color theme="1"/>
        <rFont val="Calibri"/>
        <family val="2"/>
        <scheme val="minor"/>
      </rPr>
      <t>Encerramento das atividades</t>
    </r>
    <r>
      <rPr>
        <sz val="11"/>
        <color theme="1"/>
        <rFont val="Calibri"/>
        <family val="2"/>
        <scheme val="minor"/>
      </rPr>
      <t xml:space="preserve">: apresentar declaração com deferimento expresso da Vigilância Sanitária quanto ao encerramento das atividades da empresa;
- </t>
    </r>
    <r>
      <rPr>
        <u/>
        <sz val="11"/>
        <color theme="1"/>
        <rFont val="Calibri"/>
        <family val="2"/>
        <scheme val="minor"/>
      </rPr>
      <t>Baixa do CNPJ ou encerramento de filial</t>
    </r>
    <r>
      <rPr>
        <sz val="11"/>
        <color theme="1"/>
        <rFont val="Calibri"/>
        <family val="2"/>
        <scheme val="minor"/>
      </rPr>
      <t xml:space="preserve">: apresentar comprovante de baixa do CNPJ ou alteração contratual que formalize o encerramento da filial;
- </t>
    </r>
    <r>
      <rPr>
        <b/>
        <u/>
        <sz val="11"/>
        <color theme="1"/>
        <rFont val="Calibri"/>
        <family val="2"/>
        <scheme val="minor"/>
      </rPr>
      <t>Apenas</t>
    </r>
    <r>
      <rPr>
        <u/>
        <sz val="11"/>
        <color theme="1"/>
        <rFont val="Calibri"/>
        <family val="2"/>
        <scheme val="minor"/>
      </rPr>
      <t xml:space="preserve"> empresas prestadoras de serviços</t>
    </r>
    <r>
      <rPr>
        <sz val="11"/>
        <color theme="1"/>
        <rFont val="Calibri"/>
        <family val="2"/>
        <scheme val="minor"/>
      </rPr>
      <t>: apresentar declaração assinada pelo responsável legal, solicitando expressamente o cancelamento do registro.</t>
    </r>
  </si>
  <si>
    <t>PF</t>
  </si>
  <si>
    <t xml:space="preserve">
A princípio, está tudo certo com seu usuário WEB. Peço que tente acessar por outro navegador e mantenha a página sempre atualizada. Caso o problema persista, acesse o site de login: https://crfemcasa.crf-pr.org.br/crf-em-casa/login.jsf
 e utilize a opção “recuperar senha”.</t>
  </si>
  <si>
    <t>PJ/PF</t>
  </si>
  <si>
    <t xml:space="preserve">
Em relação aos gases medicinais, a assistência é exclusiva do profissional farmacêutico, conforme o art. 13 da RDC nº 887/2024, exigindo assistência farmacêutica integral durante todo o horário de funcionamento.
Dessa forma, é necessário verificar se as empresas não permanecerão desassistidas e se não haverá conflito de horários por parte do profissional. Ressalta-se que, conforme o Plano Anual de Fiscalização, deve ser considerado o tempo de deslocamento entre os estabelecimentos, sendo este, no mínimo, de 15 minutos.</t>
  </si>
  <si>
    <t xml:space="preserve">Posso assumir duas responsabilidades em distribuidora de gas medicinal </t>
  </si>
  <si>
    <t>122362 </t>
  </si>
  <si>
    <t>R B COMERCIO DE MEDICAMENTOS E SERVICOS A SAUDE HUMANA LTDA</t>
  </si>
  <si>
    <t>26114705 </t>
  </si>
  <si>
    <t>MUNICÍPIO DE MOREIRA SALES</t>
  </si>
  <si>
    <t>FARMÁCIA PREÇO MAIS POPULAR JK LTDA</t>
  </si>
  <si>
    <t>124673 </t>
  </si>
  <si>
    <t>FARMÁCIA MONTIMO LTDA</t>
  </si>
  <si>
    <t>124793 </t>
  </si>
  <si>
    <t>LABORATÓRIOS CALBOS LTDA</t>
  </si>
  <si>
    <t>Não obtive resposta referente ao meu pedido de inscrição</t>
  </si>
  <si>
    <t>Você apenas realizou sua pré-inscrição. Seu procedimento será distribuído e analisado por um colaborador do CRF-PR que entrará, nos próximos dias em contato com você por e-mail.</t>
  </si>
  <si>
    <t xml:space="preserve">
Verifiquei e dia xx/xx/26 o(a) colaborador(a) do CRF que está analisando sua demanda te enviou um e-mail solicitando a correção na documentação que foi enviada incompleta. Porém ainda não houve retorno da sua parte para a conclusão da  inscrição, favor, verificar sua caixa de spam e responder com os documentos completos. 
Por gentileza, verifique o e-mail, e também e a documentação completa e correta, para que seja possível concluir a análise.</t>
  </si>
  <si>
    <t xml:space="preserve">Inscrição provisória baixada </t>
  </si>
  <si>
    <t>Informamos que, junto ao Conselho, sua inscrição encontra-se cancelada.
Dessa forma, estando já em posse do diploma, será necessário requerer a inscrição definitiva, mediante o envio da documentação completa conforme orientações disponíveis no site:
https://www.crf-pr.org.br/servico/view/24/inscricao-profissional-definitiva
A documentação deverá ser encaminhada para o e-mail: pessoafisica@crf-pr.org.br</t>
  </si>
  <si>
    <t>Averbação</t>
  </si>
  <si>
    <t xml:space="preserve">A formalização de alterações do contrato social da empresa, tais como mudança de razão social, quadro societário, endereço, atividade, entre outras, deve ser realizada exclusivamente por meio do sistema CRF-PR em Casa – Pessoa Jurídica, no menu: Serviços &gt; Mais Serviços à Pessoa Jurídica &gt; Averbação Contratual.
</t>
  </si>
  <si>
    <t>Caso a alteração societária já tenha sido efetivada, não se tratando mais de processo de transição, e não haja acesso ao sistema CRF em Casa da empresa, a documentação poderá ser encaminhada excepcionalmente por e-mail.
Nessa hipótese, a alteração contratual deverá ser enviada para o endereço eletrônico: registro.pj@crf-pr.org.br</t>
  </si>
  <si>
    <t>Qual o prazo para substituir um profissional afastado</t>
  </si>
  <si>
    <t>Caso a empresa esteja regular até o momento da ausência do profissional, será concedido o prazo de até 30 (trinta) dias, a contar do afastamento, para a devida regularização, mediante a indicação de substituto ou a adoção de outra modalidade de assistência, a fim de assegurar a cobertura integral dos horários.</t>
  </si>
  <si>
    <t>Estética</t>
  </si>
  <si>
    <t>Existe decisão definitiva proferida nos autos nº 0061755-88.2013.4.01.3400/DF, em trâmite perante o Tribunal Regional Federal da 1ª Região, a qual veda a realização, por farmacêuticos, dos procedimentos previstos na Resolução CFF nº 573/2013, tais como: avaliação, definição de procedimentos e estratégias, acompanhamento e evolução estética; cosmetoterapia; eletroterapia; iontoforese; laserterapia; luz intensa pulsada; peelings químicos e mecânicos; radiofrequência estética; e sonoforese (ultrassom estético).
Adicionalmente, encontra-se em trâmite a Ação Civil Pública nº 1093803-34.2023.4.01.3400, perante a 21ª Vara Federal do Distrito Federal, na qual foi proferida sentença que declarou a nulidade parcial das Resoluções CFF nº 616/2015 e nº 645/2017, no ponto em que autorizam farmacêuticos a executar procedimentos estéticos de natureza invasiva. Consideram-se invasivos, para esses fins, os procedimentos que envolvam perfuração da pele, introdução de substâncias injetáveis, inserção de fios, utilização de lasers ablativos, luz intensa pulsada de alta potência, carboxiterapia, intradermoterapia, preenchimentos dérmicos ou quaisquer técnicas que rompam as barreiras naturais do corpo humano, ainda que de forma superficial.
Ressalta-se, contudo, que o Conselho Federal de Farmácia interpôs recurso, motivo pelo qual o Conselho Regional de Farmácia do Paraná aguarda o posicionamento definitivo a ser adotado.
Diante desse cenário, recomenda-se cautela na realização e na divulgação de procedimentos estéticos.
Para maiores informações, orienta-se o contato com o Conselho Federal de Farmácia, por meio do canal oficial:
https://site.cff.org.br/form-ouvidoria</t>
  </si>
  <si>
    <t>Em virtude de recente movimentação em processos judiciais que envolvem a atuação
do profissional farmacêutico na área de estética, o CRF-PR oficiou o Conselho Federal de
Farmácia (CFF), o qual é parte nas referidas ações, com o objetivo de obter orientação
quanto aos procedimentos a serem adotados pelos Conselhos Regionais.
Esclarecemos que de acordo com a Lei 3.820/60 é o Conselho Federal de Farmácia quem
possui a atribuição de ampliar o limite de competência do exercício profissional, bem
como expedir resoluções, definindo ou modificando atribuições ou competência dos
profissionais de farmácia (art. 6°, l, m).
Assim, o CRF-PR aguardará as orientações do Conselho Federal de Farmácia para dar
andamento aos procedimentos existentes.</t>
  </si>
  <si>
    <t>Juramento</t>
  </si>
  <si>
    <t xml:space="preserve">
Informamos que a entrada para o juramento é permitida somente até às 14h, sendo obrigatória a permanência até o encerramento da solenidade.
No seu caso, será realizada nova convocação.</t>
  </si>
  <si>
    <t> A.S.UNOKI SANTOS &amp; CIA LTDA</t>
  </si>
  <si>
    <t>125459 </t>
  </si>
  <si>
    <t>FARMÁCIA VMS LTDA</t>
  </si>
  <si>
    <t>L768234249</t>
  </si>
  <si>
    <t>INDEFERIR EM 30/04</t>
  </si>
  <si>
    <t>126451 </t>
  </si>
  <si>
    <t>FARMACELO FARMÁCIA LTDA</t>
  </si>
  <si>
    <t>26129312 </t>
  </si>
  <si>
    <t>MUNICIPIO DE RIBEIRÃO CLARO</t>
  </si>
  <si>
    <t>26129316 </t>
  </si>
  <si>
    <t>30321 </t>
  </si>
  <si>
    <t>PRÓ SAÚDE FARMA LTDA ME</t>
  </si>
  <si>
    <t>26129445 </t>
  </si>
  <si>
    <t>MUNICÍPIO DE CAMPO MOURÃO</t>
  </si>
  <si>
    <t>26130341 </t>
  </si>
  <si>
    <t>FARMÁCIAS FLEMING LTDA - FL 19</t>
  </si>
  <si>
    <t>26130370 </t>
  </si>
  <si>
    <t>MUNICÍPIO DE CAPANEMA</t>
  </si>
  <si>
    <t>L720032153 </t>
  </si>
  <si>
    <t> MUNICÍPIO DE IVATÉ</t>
  </si>
  <si>
    <t>26132235 </t>
  </si>
  <si>
    <t>EUCATUR - EMPRESA UNIÃO CASCAVEL TRANSPORTE E TURISMO LTDA</t>
  </si>
  <si>
    <t>SECRETARIA DE ESTADO DA SAÚDE - SESA</t>
  </si>
  <si>
    <t>26137311 </t>
  </si>
  <si>
    <t>MUNICIPIO DE JATAIZINHO</t>
  </si>
  <si>
    <t>26136494 </t>
  </si>
  <si>
    <t>MUNICÍPIO DE MISSAL</t>
  </si>
  <si>
    <t>26129577 </t>
  </si>
  <si>
    <t> PZ DISTRIBUIDORA DE MEDICAMENTOS LTDA</t>
  </si>
  <si>
    <t>26129842 </t>
  </si>
  <si>
    <t>MUNICÍPIO DE LINDOESTE</t>
  </si>
  <si>
    <t>26130885 </t>
  </si>
  <si>
    <t>UNIVERSIDADE ESTADUAL DE PONTA GROSSA</t>
  </si>
  <si>
    <t>26130806 </t>
  </si>
  <si>
    <t>DIMED S/A - DISTRIBUIDORA DE MEDICAMENTOS FL 630</t>
  </si>
  <si>
    <t>26130860 </t>
  </si>
  <si>
    <t>GIROTTO &amp; CECAGNO LTDA</t>
  </si>
  <si>
    <t>FARMACIA E DROGARIA SOBERANA CENTRO 2 LTDA</t>
  </si>
  <si>
    <t>26130975 </t>
  </si>
  <si>
    <t>26132758 </t>
  </si>
  <si>
    <t>PETROQUÍMICA ORINOCO S/</t>
  </si>
  <si>
    <t>LABAN LAB ANALISES CLINICAS LTDA FL 10</t>
  </si>
  <si>
    <t>26136196 </t>
  </si>
  <si>
    <t>CONSANI &amp; ALVES LTDA</t>
  </si>
  <si>
    <t>26133801 </t>
  </si>
  <si>
    <t>C A S COMÉRCIO DE MEDICAMENTOS LTDA</t>
  </si>
  <si>
    <t>26135674 </t>
  </si>
  <si>
    <t>ADRIANA OLSEMANN</t>
  </si>
  <si>
    <t>26135856 </t>
  </si>
  <si>
    <t> VEUTÉ DISTRIBUIDORA E COMÉRCIO LTDA</t>
  </si>
  <si>
    <t>Silvia, ver questão do ramo e especificação de atividade da farmácia</t>
  </si>
  <si>
    <t>PROVIDE HOSPITALAR LTDA</t>
  </si>
  <si>
    <t>128634 </t>
  </si>
  <si>
    <t>R M SAMBATI &amp; CIA LTDA - ME</t>
  </si>
  <si>
    <t>129953 </t>
  </si>
  <si>
    <t> DROGARIA PUNTO FARMA LTDA</t>
  </si>
  <si>
    <t>130053 </t>
  </si>
  <si>
    <t>SIQUEIRA E SIQUEIRA DROGARIA LTDA</t>
  </si>
  <si>
    <t>131996 </t>
  </si>
  <si>
    <t>OLIVEIRA &amp; LENZ LTDA ME</t>
  </si>
  <si>
    <t>134133 </t>
  </si>
  <si>
    <t>FARMÁCIA PREÇO BAIXO DE ALTÔNIA LTDA</t>
  </si>
  <si>
    <t>26129393 </t>
  </si>
  <si>
    <t>K DE OLIVEIRA ODY FARMÁCIA LTDA</t>
  </si>
  <si>
    <t>SANARE SERVIÇOS FARMACÊUTICOS LTDA</t>
  </si>
  <si>
    <t xml:space="preserve"> BARBOSA &amp; VERONEZ LTDA</t>
  </si>
  <si>
    <t>26130957 </t>
  </si>
  <si>
    <t>M M BROTO DEBIAZI &amp; AGOSTINI LTDA</t>
  </si>
  <si>
    <t>indeferir em 30/04</t>
  </si>
  <si>
    <t>26132833 </t>
  </si>
  <si>
    <t>J. PADILHA ESTETICA AVANCADA LTDA</t>
  </si>
  <si>
    <t>26133568 </t>
  </si>
  <si>
    <t>FARMÁCIA PRIMAVERA LTDA</t>
  </si>
  <si>
    <t>26135762 </t>
  </si>
  <si>
    <t> LOWEFARMA PRODUTOS FARMACÊUTICOS LTD</t>
  </si>
  <si>
    <t>26136258 </t>
  </si>
  <si>
    <t>26131012 </t>
  </si>
  <si>
    <t>RAIA DROGASIL S/A - FL 690</t>
  </si>
  <si>
    <t>FARMÁCIA IDEAL TURVO LTDA - FL 01</t>
  </si>
  <si>
    <t>26131042 </t>
  </si>
  <si>
    <t>RAIA DROGASIL S/A - FL 436.</t>
  </si>
  <si>
    <t>ROYAL TECH DISTRIBUIDORA HOSP E FARMACÊUTICA LTDA</t>
  </si>
  <si>
    <t>RAIA DROGASIL S/A - FL 323</t>
  </si>
  <si>
    <t>26136308 </t>
  </si>
  <si>
    <t>RAIA DROGASIL S/A - FL 442</t>
  </si>
  <si>
    <t> RAIA DROGASIL S/A - FL 452</t>
  </si>
  <si>
    <t>26136631 </t>
  </si>
  <si>
    <t>RAIA DROGASIL S.A. FL 445</t>
  </si>
  <si>
    <t>26136909 </t>
  </si>
  <si>
    <t>REQUINTE SOLUÇÕES ODONTOLÓGICAS LTDA</t>
  </si>
  <si>
    <t>26137338 </t>
  </si>
  <si>
    <t>GENLAB FARMACÊUTICA LTDA</t>
  </si>
  <si>
    <t>26138476 </t>
  </si>
  <si>
    <t>CIRURGICA SR PRODUTOS HOSPITALARES LTDA</t>
  </si>
  <si>
    <t>LIANE YUKI KOYAMA MATSUMOTO FARMACIA LTDA</t>
  </si>
  <si>
    <t>136707 </t>
  </si>
  <si>
    <t> AMB DISTRIBUIDORA DE MEDICAMENTO E MATERIAIS HOSPITALARES LTDA</t>
  </si>
  <si>
    <t>138289 </t>
  </si>
  <si>
    <t> FARMÁCIA PREÇO + POPULAR LTDA - FL 01</t>
  </si>
  <si>
    <t>140695 </t>
  </si>
  <si>
    <t xml:space="preserve"> FARMÁCIA PREÇO + POPULAR LTDA </t>
  </si>
  <si>
    <t>26122854 </t>
  </si>
  <si>
    <t>KAMILY VICTORIA DA SILVA</t>
  </si>
  <si>
    <t>SILVANE ZIOMEK</t>
  </si>
  <si>
    <t>26132320 </t>
  </si>
  <si>
    <t>GIOVANA RODRIGUES CALIXTO</t>
  </si>
  <si>
    <t>DIEGO MEDEIROS GUEDES</t>
  </si>
  <si>
    <t>26136507 </t>
  </si>
  <si>
    <t>26139564 </t>
  </si>
  <si>
    <t>ANDRESSA SOARES FERNANDES</t>
  </si>
  <si>
    <t>26140998 </t>
  </si>
  <si>
    <t>JESSICA CRISTINA BERNARDI</t>
  </si>
  <si>
    <t>2668666</t>
  </si>
  <si>
    <t>2672973</t>
  </si>
  <si>
    <t>2674341</t>
  </si>
  <si>
    <t>2675031</t>
  </si>
  <si>
    <t>2677434</t>
  </si>
  <si>
    <t>2678048</t>
  </si>
  <si>
    <t>2680333</t>
  </si>
  <si>
    <t>2682048</t>
  </si>
  <si>
    <t>2686872</t>
  </si>
  <si>
    <t>2690779</t>
  </si>
  <si>
    <t>2692028</t>
  </si>
  <si>
    <t>MARIANA CARVALHO ESTÉTICA E TRICOLOGIA LTDA</t>
  </si>
  <si>
    <t>DRA ANGELICA MACHADO - CLINICA DE ESTETICA AVANCADA LTDA</t>
  </si>
  <si>
    <t>ÉDILA PACHECO JANKOWSKI ESTÉTICA</t>
  </si>
  <si>
    <t>TG HARMONIZACAO FACIAL LIMITADA</t>
  </si>
  <si>
    <t>CLÍNICA DANIELA TAVARES LTDA</t>
  </si>
  <si>
    <t>FACE DOCTOR CASCAVEL CLÍNICA DE HARMONIZAÇÃO LTDA</t>
  </si>
  <si>
    <t>BARBARA VIEIRA HENRIQUE</t>
  </si>
  <si>
    <t>OZON ESTETIC LTDA</t>
  </si>
  <si>
    <t>GABRIELA BORGES ESTETICA AVANCADA LTDA</t>
  </si>
  <si>
    <t>RAFAELA SALLA DE AZEREDO</t>
  </si>
  <si>
    <t>CTA - CENTRO DE TRICOLOGIA AVANÇADO LTDA</t>
  </si>
  <si>
    <t>MELISSA ROCHER DE FARIAS LTDA</t>
  </si>
  <si>
    <t>ANI CAROLINE CAMILLO CONTER LTDA</t>
  </si>
  <si>
    <t>ARMEE ESTÉTICA E SAÚDE AVANÇADA LTDA</t>
  </si>
  <si>
    <t>30246</t>
  </si>
  <si>
    <t>dia 04/05/2026</t>
  </si>
  <si>
    <t>dia 04/05/2026 - julio habilitação</t>
  </si>
  <si>
    <t>L768582917</t>
  </si>
  <si>
    <t>30987 </t>
  </si>
  <si>
    <t>26139959 </t>
  </si>
  <si>
    <t> OLIMPIO EQUIPAMENTOS HOSPITALARES LTDA</t>
  </si>
  <si>
    <t xml:space="preserve">Silvia me orientou a fazer dessa forma. </t>
  </si>
  <si>
    <t>26140047 </t>
  </si>
  <si>
    <t>SAMUEL MARTINS DELGADO NETO</t>
  </si>
  <si>
    <t>26140130 </t>
  </si>
  <si>
    <t>SOLUS SOLUÇÕES ESTÉREIS S/A</t>
  </si>
  <si>
    <t>FARMACIA FARMACLÍNICA LTDA EPP</t>
  </si>
  <si>
    <t>FUNDO MUNICIPAL DE SAÚDE DE GUARAQUEÇABA</t>
  </si>
  <si>
    <t>26142305 </t>
  </si>
  <si>
    <t>ADR PRODUTOS FARMACÊUTICOS LTDA</t>
  </si>
  <si>
    <t>26142551 </t>
  </si>
  <si>
    <t>GLOBOMED COMERCIAL LTDA - FL 01</t>
  </si>
  <si>
    <t>26141094 </t>
  </si>
  <si>
    <t>VITOR HUGO OTTO LTDA - FL 01</t>
  </si>
  <si>
    <t>26141279 </t>
  </si>
  <si>
    <t>GLOBAL MEDICA COMÉRCIO DE PRODUTOS MÉDICOS LTDA</t>
  </si>
  <si>
    <t>26141335 </t>
  </si>
  <si>
    <t>26143495 </t>
  </si>
  <si>
    <t>MUNICIPIO DE FRANCISCO ALVES</t>
  </si>
  <si>
    <t>dia 04/05/2026 - faltou explicação de enderçeo da sil.</t>
  </si>
  <si>
    <t>dia 04/05/2026 - julio habilitação// habilitado dia 04/05 às 16h30</t>
  </si>
  <si>
    <t>R PLUS COMERCIAL VAREJISTA LTDA - EPP</t>
  </si>
  <si>
    <t>R PLUS COMERCIAL VAREJISTA LTDA EPP</t>
  </si>
  <si>
    <t>26141363 </t>
  </si>
  <si>
    <t>LIGFARMA COMÉRCIO DE MEDICAMENTOS LTD</t>
  </si>
  <si>
    <t>26141675 </t>
  </si>
  <si>
    <t>H. L. VICTORINO - PRODUTOS FARMACEUTICOS</t>
  </si>
  <si>
    <t>FARMACIA E DROGARIA SOUZAMED LTDA</t>
  </si>
  <si>
    <t>BARUCK COM. DE MEDICAMENTOS LTDA</t>
  </si>
  <si>
    <t>DALUNA SOLUÇÕES PARA SAUDE LTDA</t>
  </si>
  <si>
    <t>26144301 </t>
  </si>
  <si>
    <t>CISPRIME DISTRIBUIDORA LTDA</t>
  </si>
  <si>
    <t>curitiba</t>
  </si>
  <si>
    <t>CISPRIME DISTRIBUIDORA LTDA - fl 01</t>
  </si>
  <si>
    <t>26144985 </t>
  </si>
  <si>
    <t>FUNDO MUNICIPAL DE SAÚDE - GUARAQUECABA</t>
  </si>
  <si>
    <t>147028 </t>
  </si>
  <si>
    <t>FARMÁCIA FARMA AVILA LTDA</t>
  </si>
  <si>
    <t>farmaciafarmaavila@gmail.com</t>
  </si>
  <si>
    <t>até 08/05</t>
  </si>
  <si>
    <t>solicitado whats em 06/05</t>
  </si>
  <si>
    <t>26142683 </t>
  </si>
  <si>
    <t>BELUSSO E GEOVANELLI LTDA ME</t>
  </si>
  <si>
    <t>IGI INTEGRAÇÃO E LOGÍSTICA LTDA</t>
  </si>
  <si>
    <t>26142878 </t>
  </si>
  <si>
    <t>JOÃO FAUSTINO DA SILVA JUNIOR - ME</t>
  </si>
  <si>
    <t>26143082 </t>
  </si>
  <si>
    <t>RR IMPORTAÇÃO E COMÉRCIO LTDA ME</t>
  </si>
  <si>
    <t>26143108 </t>
  </si>
  <si>
    <t>BARUCK COM DE MEDICAMENTOS LTDA ME - FL 02</t>
  </si>
  <si>
    <t>26143417 </t>
  </si>
  <si>
    <t>AVANCO E SAMBUGARO LTDA</t>
  </si>
  <si>
    <t>26143448 </t>
  </si>
  <si>
    <t>INOVACOES COMERCIO DE MEDICAMENTOS E PRODUTOS PARA SAUDE LTDA</t>
  </si>
  <si>
    <t>26143493 </t>
  </si>
  <si>
    <t>MOCA COMÉRCIO DE MEDICAMENTOS LTD</t>
  </si>
  <si>
    <t>142197 </t>
  </si>
  <si>
    <t>A C OLIVEIRA FARIAS JR LTDA</t>
  </si>
  <si>
    <t>143000 </t>
  </si>
  <si>
    <t>C I S CENTRO INTEGRADO EM SAÚDE LTDA</t>
  </si>
  <si>
    <t>BRUNO SOATO COMÉRCIO E MEDICAMENTOS LTD</t>
  </si>
  <si>
    <t>baixa de rt - rp 22/05/26</t>
  </si>
  <si>
    <t>PREFEITURA MUN DE BELA VISTA DO PARAÍSO</t>
  </si>
  <si>
    <t>26145546 </t>
  </si>
  <si>
    <t>HOSPITAL E MATERNIDADE PAROLIN LTDA</t>
  </si>
  <si>
    <t>silvia / espolio</t>
  </si>
  <si>
    <t>PREFEITURA MUNICIPAL DE DOURADINA</t>
  </si>
  <si>
    <t>OUTRA COPIA</t>
  </si>
  <si>
    <t>26146890 </t>
  </si>
  <si>
    <t> SECRETARIA DE ESTADO DA SEGURANÇA PÚBLICA</t>
  </si>
  <si>
    <t>MUNICÍPIO DE JATAIZINHO</t>
  </si>
  <si>
    <t>MUNICÍPIO DE IVATÉ</t>
  </si>
  <si>
    <t>FUNDO MUNICIPAL DE SAÚDE DE SANTA MÔNICA.</t>
  </si>
  <si>
    <t>26147691 </t>
  </si>
  <si>
    <t>144710 </t>
  </si>
  <si>
    <t>CIANORTE FARMÁCIA LTDA</t>
  </si>
  <si>
    <t>MED FARMA PRODUTOS FARMACEUTICOS LTDA</t>
  </si>
  <si>
    <t>Dúvidas sobre Edufarma - Vacinação credenciamento com CFF</t>
  </si>
  <si>
    <t>https://cff-br.implanta.net.br/portaltransparencia/#publico/Listas?id=1e7a9f59-226b-4c6a-abe5-716fddff5022</t>
  </si>
  <si>
    <t xml:space="preserve">Dúvidas referente a ANVISA/ Vigilância </t>
  </si>
  <si>
    <t>https://anvisalegis.datalegis.net/action/ActionDatalegis.php?acao=apresentacao&amp;cod_menu=9434&amp;cod_modulo=310</t>
  </si>
  <si>
    <t>Declaração de participação em juramento</t>
  </si>
  <si>
    <t>Para solicitar declaração de participação, presencial ou remota em juramento, o profissional deverá solicitar pelo e-mail pessoafisica@crf-pr.org.br ou no Fale Conosco https://www.crf-pr.org.br/fale-conosco</t>
  </si>
  <si>
    <t>Dúvida sobre assistência superior em plantões municipais</t>
  </si>
  <si>
    <t>Bom dia,                                                                                                                                                                                                         1º ponto - com relação à atribuição principal do Conselho que é -  fiscalização da assistência técnica farmacêutica; é permitido a declaração de assistência para realização de plantões municipais superior a carga horária habitual, tendo em vista a necessidade do município, compreendendo o benefício coletivo para região (de possuir uma farmácia aberta para compra de medicamento).                                                                                                                                                                     2º ponto, pelo que consta nos dispositivos dos ACTs, salvo engano, é que a carga horária do profissional contratado pelo regime celetista é de até 10h diária, com respeito aos intervalos intrajornada e interjornada. Porém essa é uma questão de cunho trabalhista, e a instituição recomendada para consulta é o Sindicato da categoria, segue link das convenções para conhecimento: https://sindifar-pr.org.br/juridico/convencoes-coletivas/                                               Talvez a agência do trabalhador da sua região também possa auxiliar neste sentido, https://www.trabalho.pr.gov.br/servicos/Servicos/Seguro-desemprego/Localizar-Agencia-do-Trabalhador-PlNa4JoO</t>
  </si>
  <si>
    <t>Para alterar o endereço de entrega documental</t>
  </si>
  <si>
    <t>A solicitação para alteração exclusiva do endereço de entrega de documentos físicos deve ser realizada por meio do canal Fale Conosco, disponível em: https://www.crf-pr.org.br/fale-conosco</t>
  </si>
  <si>
    <t>Cédula profissional (informação atual)</t>
  </si>
  <si>
    <t>Bom dia. Informamos que, em relação às Cédulas Profissionais, houve um acúmulo de pedidos ao CFF devido a questões contratuais com a empresa responsável pela confecção. Isso gerou uma demanda reprimida em nível nacional e, por esse motivo, o CFF suspendeu temporariamente a emissão de novas cédulas. Por esse motivo os regionais não estão emitindo o boleto. Como alternativa, os profissionais podem emitir a Cédula Digital por meio do aplicativo "Cédula Digital do CFF". As orientações podem ser acessadas no link: https://site.cff.org.br/cedula</t>
  </si>
  <si>
    <t>MARCOS PAULO FERREIRA</t>
  </si>
  <si>
    <t>FAZER O PROTOCOLO DO OFICIO POS ASSINATURA DA FLAVIA</t>
  </si>
  <si>
    <t>VICTORINOS FARMA LTDA</t>
  </si>
  <si>
    <t>26147040 </t>
  </si>
  <si>
    <t>HEALTH MEDICAL SUPPORT COM MAT MED HOSP LTDA</t>
  </si>
  <si>
    <t>26142934 </t>
  </si>
  <si>
    <t>MUNICIPIO DE ALTONIA</t>
  </si>
  <si>
    <t>26150258 </t>
  </si>
  <si>
    <t>26144303 </t>
  </si>
  <si>
    <t>CISPRIME DISTRIBUIDORA LTDA - FL 01</t>
  </si>
  <si>
    <t xml:space="preserve">CISPRIME DISTRIBUIDORA LTDA </t>
  </si>
  <si>
    <t>26149275 </t>
  </si>
  <si>
    <t>TERRA SANTA COMÉRCIO DE MEDICAMENTOS E PERFUMARIA LTDA</t>
  </si>
  <si>
    <t>26149276 </t>
  </si>
  <si>
    <t>MUNICÍPIO DE AGUDOS DO SUL</t>
  </si>
  <si>
    <t>26149922 </t>
  </si>
  <si>
    <t>SECRETARIA DE ESTADO DA SAÚDE</t>
  </si>
  <si>
    <t>26150442 </t>
  </si>
  <si>
    <t>MUNICÍPIO DE FRANCISCO BELTRÃO</t>
  </si>
  <si>
    <t>26150766 </t>
  </si>
  <si>
    <t>26150459 </t>
  </si>
  <si>
    <t>26151905 </t>
  </si>
  <si>
    <t>PREFEITURA MUN DE FRANCISCO BELTRAO</t>
  </si>
  <si>
    <t>26151733 </t>
  </si>
  <si>
    <t>representante</t>
  </si>
  <si>
    <t>MUNICÍPIO DE TAMBOARA</t>
  </si>
  <si>
    <t>26146582 </t>
  </si>
  <si>
    <t>FARMA PORTO LTDA</t>
  </si>
  <si>
    <t>26146791 </t>
  </si>
  <si>
    <t>NKN COM PROD FARMACÊUTICOS LTDA ME FL 02</t>
  </si>
  <si>
    <t>26149049 </t>
  </si>
  <si>
    <t>AMB DISTRIBUIDORA DE MEDICAMENTO E MATERIAIS HOSPITALARES LTDA</t>
  </si>
  <si>
    <t>26146353 </t>
  </si>
  <si>
    <t>147773 </t>
  </si>
  <si>
    <t>MEDCAM DIST DE MEDICAMENTOS PROD HOSPITALARES LTDA</t>
  </si>
  <si>
    <t>149712 </t>
  </si>
  <si>
    <t>ZULIANE SOARES E CIA LTDA</t>
  </si>
  <si>
    <t>150114 </t>
  </si>
  <si>
    <t>FARMÁCIA KLOSTERMANN LTDA</t>
  </si>
  <si>
    <t>FARMÁCIA KLOSTERMANN LTDA fl 01</t>
  </si>
  <si>
    <t>151036 </t>
  </si>
  <si>
    <t>M ROSIN E CIA LTDA</t>
  </si>
  <si>
    <t>CLÍNICA DE ESTÉTICA + NOME FANTASIA</t>
  </si>
  <si>
    <t>CLÍNICA DE ESTÉTICA GABRIELA BORGES</t>
  </si>
  <si>
    <t xml:space="preserve">A IDENTIFICAÇÃO DO ESTABELECIMENTO NÃO DEVE SER ABREVIADA. EX. INCORRETO: CLIN. EST., CLINICA EST. </t>
  </si>
  <si>
    <t>*</t>
  </si>
  <si>
    <t>A RAZÃO SOCIAL DEVE SEGUIR O MESMO PADRÃO DO CARTÃO CNPJ</t>
  </si>
  <si>
    <t>pfpradoestetica@gmail.com</t>
  </si>
  <si>
    <t>P F DO PRADO ESTETICA E BEM ESTAR</t>
  </si>
  <si>
    <t>alinebacil@yahoo.com.br</t>
  </si>
  <si>
    <t>ESTHETIQUE CLINICA DE ESTETICA LTDA</t>
  </si>
  <si>
    <t>MCLINIQUE ESTETICA LTDA</t>
  </si>
  <si>
    <t>regianego@hotmail.com</t>
  </si>
  <si>
    <t>AEROFLEX INDUSTRIA DE AEROSOL LTDA</t>
  </si>
  <si>
    <t>carla.lorenzetti@aeroflex.ind.br</t>
  </si>
  <si>
    <t>nathaliaguimaraes.hf@hotmail.com</t>
  </si>
  <si>
    <t>NATHALIA GUIMARAES ESTETICA LTDA</t>
  </si>
  <si>
    <t>dp01@farmaciasbrava.com.br</t>
  </si>
  <si>
    <t>FARMÁCIAS BRAVA LTDA - FL 26</t>
  </si>
  <si>
    <t>brunassmoreira@gmail.com</t>
  </si>
  <si>
    <t>BRUNA MOREIRA HARMONIZACAO FACIAL E CORPORAL LTDA</t>
  </si>
  <si>
    <t>ligh_administrativo@ufpr.br</t>
  </si>
  <si>
    <t>Veterinário</t>
  </si>
  <si>
    <t xml:space="preserve">
Informamos que tendo em vista alteração no objeto social na 3ª Alteração do Contrato Social) na qual incluiu a atividade: 47.71-7-04 - Comércio varejista de medicamentos veterinários.
Informamos que o comércio varejista de medicamentos veterinários exige, de fato, a presença de um responsável técnico médico-veterinário para a comercialização de produtos que exigem prescrição, sendo uma atividade vinculada ao Conselho Regional de Medicina Veterinária (CRMV).
As principais normas que regem essa obrigatoriedade são Lei nº 5.517, de 23 de Outubro de 1968: Decreto nº 5.053, de 22 de abril de 2004 (atualizado pelo Decreto nº 8.448/2015): e Resolução CFMV nº 1.374/2020. 
Dessa forma, solicitamos declaração assinada pelo representante da empresa em que conste o conhecimento da norma e a impossibilidade legal de farmacêuticos atuarem no comércio de medicamentos veterinários. </t>
  </si>
  <si>
    <t>evandro.c@formulanimal.com.br</t>
  </si>
  <si>
    <t>FA PINHAIS FARMACIA DE MANIPULACAO VETERINARIA LTDA</t>
  </si>
  <si>
    <t>gasmed@gasmedoxigenio.com.br</t>
  </si>
  <si>
    <t>GASMED GASES MEDICINAIS LTDA</t>
  </si>
  <si>
    <t>DALIANE GOMES MARINHO</t>
  </si>
  <si>
    <t>boleto</t>
  </si>
  <si>
    <t>dalianemarinho07@gmail.com</t>
  </si>
  <si>
    <t>NARA ANDRESSA MORAIS NASCIMENTO UYETAQUI</t>
  </si>
  <si>
    <t>naraandressa@yahoo.com.br</t>
  </si>
  <si>
    <t>adami.duda@hotmail.com</t>
  </si>
  <si>
    <t>EDUARDA GABRIELLA FOGACA ADAMI</t>
  </si>
  <si>
    <t>pamtocles@icloud.com</t>
  </si>
  <si>
    <t>PAMELA SECUNDO DOS SANTOS VIEIRA</t>
  </si>
  <si>
    <t>nicolas200399@outlook.com - enviado o protocolo, pedir pra ele solicitar certidão de secundaria para crf sc</t>
  </si>
  <si>
    <t>NICOLAS LUAN DA SILVA</t>
  </si>
  <si>
    <t>KELLEN CRISTINA MARTINS DE OLIVEIRA</t>
  </si>
  <si>
    <t>kellen_martins@hotmail.com</t>
  </si>
  <si>
    <t>INGRID FERREIRA COSTA</t>
  </si>
  <si>
    <t>ingrid.gundin@gmail.com</t>
  </si>
  <si>
    <t>LUANA KNAPIK</t>
  </si>
  <si>
    <t>luana_knapik@outlook.com</t>
  </si>
  <si>
    <t>ROBERTO TYUDI TAKETA FILHO</t>
  </si>
  <si>
    <t>VICTOR ALEX DA FONSECA</t>
  </si>
  <si>
    <t>tyuditaketa@icloud.com</t>
  </si>
  <si>
    <t>victor_fonseca4@hotmail.com</t>
  </si>
  <si>
    <t>GABRIELLA LIBANORI DE MELLO</t>
  </si>
  <si>
    <t>gabi_libanori@hotmail.com</t>
  </si>
  <si>
    <t>leostsantos@gmail.com</t>
  </si>
  <si>
    <t>LEONARDO STEIN ANTUNES SANTOS</t>
  </si>
  <si>
    <t>delzilia@hotmail.com</t>
  </si>
  <si>
    <t>DELZILIA DE OLIVEIRA SANTOS AGUIAR</t>
  </si>
  <si>
    <t>155226 </t>
  </si>
  <si>
    <t>26145745 </t>
  </si>
  <si>
    <t>PIF0001076 </t>
  </si>
  <si>
    <t>GLAUCIANE VIANA MENDES BRITO</t>
  </si>
  <si>
    <t>glauciviana8@gmail.com// altera cadastro</t>
  </si>
  <si>
    <t>fernandorodrigokasper@gmail.com</t>
  </si>
  <si>
    <t>FERNANDO RODRIGO KASPER</t>
  </si>
  <si>
    <t>THAMIRES PEREIRA DE CARVALHO</t>
  </si>
  <si>
    <t>diegobastiani@hotmail.com</t>
  </si>
  <si>
    <t>DIEGO DE BASTIANI</t>
  </si>
  <si>
    <t>GM TRICOLOGIA E TERAPIA CAPILAR LTDA</t>
  </si>
  <si>
    <t>rodricosta@hotmail.com</t>
  </si>
  <si>
    <t>FARMAX MEDICAMENTOS LTDA</t>
  </si>
  <si>
    <t>jessica.martini12@outlook.com</t>
  </si>
  <si>
    <t>WAGNER STRAPASSON</t>
  </si>
  <si>
    <t>caroline.aquino19@hotmail.com</t>
  </si>
  <si>
    <t>PRIME COMERCIO  E SERVIÇOS LTDA</t>
  </si>
  <si>
    <t>anajulia2907aj@gmail.com</t>
  </si>
  <si>
    <t>FONSECA &amp; SOUZA LTDA</t>
  </si>
  <si>
    <t>edersonjonathan16@hotmail.com</t>
  </si>
  <si>
    <t>FARMACIA V NOVA LTDA</t>
  </si>
  <si>
    <t>financeiro@sillab.com.br; caroline@sillab.com.br; mariaclara@sillab.com.br</t>
  </si>
  <si>
    <t>AXIS SOLUCOES PARA LABORATORIOS LTDA</t>
  </si>
  <si>
    <t>gahmachado@yahoo.com.br</t>
  </si>
  <si>
    <t>155773 </t>
  </si>
  <si>
    <t>FARMÁCIA E DROGARIA CAMPOBRAS LTDA - FL 01.</t>
  </si>
  <si>
    <t>rh@marcfarma.com.br</t>
  </si>
  <si>
    <t>155927 </t>
  </si>
  <si>
    <t>SUPPLY DO BRASIL COMERCIO ATACADISTA E IMPORTADORA DE COSMETICOS LTDA</t>
  </si>
  <si>
    <t>tiago@hitcontabilidade.com.br</t>
  </si>
  <si>
    <t>thais.silva@pinhais.pr.gov.br</t>
  </si>
  <si>
    <t>MUNICIPIO DE PINHAIS</t>
  </si>
  <si>
    <t>MUNICIPIO DE IBEMA</t>
  </si>
  <si>
    <t>sms@pibema.pr.gov.br</t>
  </si>
  <si>
    <t>confirmar como virá o registro do contrato na rfb - CONTRATO ARQUIVADO NA JUNTA</t>
  </si>
  <si>
    <t>policlinica clinica médica &lt;policlinicacbremm@hotmail.com&gt;</t>
  </si>
  <si>
    <t>LAZZERI BREMM CLINICA MEDICA LTDA</t>
  </si>
  <si>
    <t>TODOS</t>
  </si>
  <si>
    <t>HOSPITAL NOSSA SENHORA DAS GRAÇAS - FL 01</t>
  </si>
  <si>
    <t>ger.laboratorio@hnsg.org.br</t>
  </si>
  <si>
    <t>26150590 </t>
  </si>
  <si>
    <t>MARSARO &amp; FARAGO FARMA LTDA</t>
  </si>
  <si>
    <t>26150722 </t>
  </si>
  <si>
    <t>C. H. DISTRIBUIDORA DE PRODUTOS DE HIGIENE E LIMPEZA LTDA</t>
  </si>
  <si>
    <t>26150810 </t>
  </si>
  <si>
    <t>DESTRA DISTRIBUIDORA DE MEDICAMENTOS LTDA</t>
  </si>
  <si>
    <t>26150875 </t>
  </si>
  <si>
    <t>26151027 </t>
  </si>
  <si>
    <t>K R CARVALHO FREIRE &amp; CIA LTDA - ME</t>
  </si>
  <si>
    <t>26152587 </t>
  </si>
  <si>
    <t>MUNICIPIO DE SANTA FE</t>
  </si>
  <si>
    <t>FUNDO MUNICIPAL DE SAÚDE DE IBEMA</t>
  </si>
  <si>
    <t>26152646 </t>
  </si>
  <si>
    <t>AC FARMA DOURADINA LTDA</t>
  </si>
  <si>
    <t>26152727 </t>
  </si>
  <si>
    <t>KIRON - COMÉRCIO E INDÚSTRIA DE BEBIDAS LTDA ME</t>
  </si>
  <si>
    <t>26153462 </t>
  </si>
  <si>
    <t>26154381 </t>
  </si>
  <si>
    <t>FARMÁCIAS BRAVA LTDA</t>
  </si>
  <si>
    <t>26151745 </t>
  </si>
  <si>
    <t>BMR MEDICAL S.A.</t>
  </si>
  <si>
    <t>26151776 </t>
  </si>
  <si>
    <t>MUNICÍPIO DE PATO BRANC</t>
  </si>
  <si>
    <t>26152052 </t>
  </si>
  <si>
    <t>BELAFRONTE &amp; GARCIA LTDA</t>
  </si>
  <si>
    <t>26152055 </t>
  </si>
  <si>
    <t>nforest@grupopanvel.com.br</t>
  </si>
  <si>
    <t>DIMED S/A - DISTRIBUIDORA DE MEDICAMENTOS FL 631</t>
  </si>
  <si>
    <t>ESPACO SE AMA LABORATORIO E ESTETICA LTDA</t>
  </si>
  <si>
    <t>sophiaquino.estetica@gmail.com</t>
  </si>
  <si>
    <t>financeiro@cwsfarmacias.com.br</t>
  </si>
  <si>
    <t>CWS FARMACIAS LTDA FL</t>
  </si>
  <si>
    <t>157044 </t>
  </si>
  <si>
    <t>IORHA BORGES DE OLIVEIRA</t>
  </si>
  <si>
    <t>SMB GESTÃO EM SAÚDE S.A</t>
  </si>
  <si>
    <t>andressaishii_86@hotmail.com</t>
  </si>
  <si>
    <t>farmaiorha@gmail.com</t>
  </si>
  <si>
    <t>157131 </t>
  </si>
  <si>
    <t>erica.valentini@gmail.com</t>
  </si>
  <si>
    <t>157170 </t>
  </si>
  <si>
    <t>38531 </t>
  </si>
  <si>
    <t>CHRISTOPHER FIORUCCI MORAES</t>
  </si>
  <si>
    <t>157213 </t>
  </si>
  <si>
    <t>157256 </t>
  </si>
  <si>
    <t>157600 </t>
  </si>
  <si>
    <t>EMPÓRIO FARMA LTDA ME</t>
  </si>
  <si>
    <t>alvesgabrielagoncalves@gmail.com</t>
  </si>
  <si>
    <t>GABRIELA ALVES GONCALVES</t>
  </si>
  <si>
    <t>157757 </t>
  </si>
  <si>
    <t>hrfbfarm@sesa.pr.gov.br</t>
  </si>
  <si>
    <t>thamirescarvalho.tpdc@gmail.com // formulário está no meu e-mail</t>
  </si>
  <si>
    <t>157838 </t>
  </si>
  <si>
    <t>158136 </t>
  </si>
  <si>
    <t>28845 </t>
  </si>
  <si>
    <t>UNIVERSIDADE FEDERAL DO PARANA</t>
  </si>
  <si>
    <t>26151687 </t>
  </si>
  <si>
    <t>SALUTE COMÉRCIO DE MEDICAMENTOS LTDA</t>
  </si>
  <si>
    <t>26152718 </t>
  </si>
  <si>
    <t>M. E. CHIERICI MEDICAMENTOS LTDA</t>
  </si>
  <si>
    <t>26153966 </t>
  </si>
  <si>
    <t> RAIA DROGASIL S.A. FL 655</t>
  </si>
  <si>
    <t>26154200 </t>
  </si>
  <si>
    <t>FARMÁCIA P J REPÚBLICA LTDA - ME.</t>
  </si>
  <si>
    <t>26154473 </t>
  </si>
  <si>
    <t>HOSPITAL PARANAGUÁ S/A</t>
  </si>
  <si>
    <t>flavia - distrato com ctps ativa, verificar antes bem as clausulas</t>
  </si>
  <si>
    <t>26155199 </t>
  </si>
  <si>
    <t>MUNICÍPIO DE ITAMBÉ</t>
  </si>
  <si>
    <t xml:space="preserve">flavia ver a situação da sócia e a escala. </t>
  </si>
  <si>
    <t>prpmaterialhospitalar@gmail.com</t>
  </si>
  <si>
    <t>PRP MATERIAL HOSPITALAR LTDA</t>
  </si>
  <si>
    <t>CIA LATINO AMERICANA DE MEDICAMENTOS</t>
  </si>
  <si>
    <t>158940 </t>
  </si>
  <si>
    <t>30293 </t>
  </si>
  <si>
    <t>VINI’S FARMA FOZ LTDA</t>
  </si>
  <si>
    <t>carloshenriquesantosreis30@gmail.com</t>
  </si>
  <si>
    <t>fiscal@descontabilidade.com.br</t>
  </si>
  <si>
    <t>TOTTENE COMERCIO DE MEDICAMENTOS LTDA</t>
  </si>
  <si>
    <t>farmaciavocesaude@gmail.com</t>
  </si>
  <si>
    <t>FARMACIA VOCE SAUDE LTDA</t>
  </si>
  <si>
    <t>158988 </t>
  </si>
  <si>
    <t> C O PERES LABORATORIO ME</t>
  </si>
  <si>
    <t>diagnoseterraroxa@hotmail.com</t>
  </si>
  <si>
    <t>mariatamyssa@gmail.com</t>
  </si>
  <si>
    <t>panatosaudeintegrada@gmail.com</t>
  </si>
  <si>
    <t>CLINICA FIRENZE LTDA</t>
  </si>
  <si>
    <t>lucimaramcc@ufpr.br</t>
  </si>
  <si>
    <t>UNIVERSIDADE FEDERAL DO PARANÁ</t>
  </si>
  <si>
    <t>mariana.fanasca@dasa.com.br // muitas unidades fazer com calma</t>
  </si>
  <si>
    <t>Ruggeri &amp; Piva</t>
  </si>
  <si>
    <t>CURVA 7 TRANSPORTE E LOGISTICA LTDA</t>
  </si>
  <si>
    <t>bruna_ramalho1@icloud.com</t>
  </si>
  <si>
    <t>C7TRANSPORTESELOGISTICA@GMAIL.COM</t>
  </si>
  <si>
    <t>LEITE &amp; CRIVELARI LTDA</t>
  </si>
  <si>
    <t>irineufarma@gmail.com</t>
  </si>
  <si>
    <t>FARMÁCIA ANDREKOWICZ LTDA - ME</t>
  </si>
  <si>
    <t>assistenciafarmaceuticalapa@gmail.com</t>
  </si>
  <si>
    <t>PREFEITURA MUNICIPAL DA LAPA</t>
  </si>
  <si>
    <t>legalizacao1@pantefujisawa.com.br</t>
  </si>
  <si>
    <t>DROGARIA HN FARMA LTDA</t>
  </si>
  <si>
    <t>BELEZE &amp; OLIVEIRA - COMERCIO DE COSMETICOS LTDA</t>
  </si>
  <si>
    <t>annebgoes95@gmail.com</t>
  </si>
  <si>
    <t>LORENA CARMEN ARAUJO DE OLIVEIRA DALDEGAN</t>
  </si>
  <si>
    <t>khellermann@gmail.com</t>
  </si>
  <si>
    <t>CHLOE ESTETICA E HARMONIZACAO LTDA</t>
  </si>
  <si>
    <t>evelyn.farmacia@outlook.com</t>
  </si>
  <si>
    <t>jessicadalgallop@gmail.com</t>
  </si>
  <si>
    <t>ZAYN CLÍNICA LTDA</t>
  </si>
  <si>
    <t>DIORIO – COMERCIO DE PERFUMES LTDA</t>
  </si>
  <si>
    <t>dsmarques.farma@gmail.com</t>
  </si>
  <si>
    <t>processos@hcorbj.com.br</t>
  </si>
  <si>
    <t>ASSOCIACAO HOSPITALAR BOM JESUS</t>
  </si>
  <si>
    <t>159863 </t>
  </si>
  <si>
    <t>RAIA DROGASIL S/A - FL 1952</t>
  </si>
  <si>
    <t>drogaraiaservicos@wm.adm.br</t>
  </si>
  <si>
    <t>RAIA DROGASIL S/A - FL 1985</t>
  </si>
  <si>
    <t>RAIA DROGASIL S/A - FL 1990</t>
  </si>
  <si>
    <t>160044 </t>
  </si>
  <si>
    <t>ANNE INES GIRARDELLO</t>
  </si>
  <si>
    <t>anneg14@gmail.com</t>
  </si>
  <si>
    <t>160070 </t>
  </si>
  <si>
    <t>LORENA BARRETO FARMACEUTICA LTDA</t>
  </si>
  <si>
    <t>lsexcelenciacontabil@gmail.com</t>
  </si>
  <si>
    <t>atendimentoprado.rh@hotmail.com</t>
  </si>
  <si>
    <t>VANESSA MUSIALAK WASIK</t>
  </si>
  <si>
    <t xml:space="preserve">termo de compromisso, atividade conflita. </t>
  </si>
  <si>
    <t>FARMACIA V. NOVA LTDA</t>
  </si>
  <si>
    <t>160387 </t>
  </si>
  <si>
    <t>regulatorio@pharmagestao.com.br</t>
  </si>
  <si>
    <t>SR LONDRINA LTDA</t>
  </si>
  <si>
    <t>CTT SOC ARQ JUNTA</t>
  </si>
  <si>
    <t>DIAGNOSTICOS DA AMERICA S/A</t>
  </si>
  <si>
    <t>req. Das unidades</t>
  </si>
  <si>
    <t>DROGARIA SÃO PAULO S.A</t>
  </si>
  <si>
    <t>160692 </t>
  </si>
  <si>
    <t>FUNDO MUNICIPAL DE SAUDE DE PALOTINA</t>
  </si>
  <si>
    <t>coordenacao.saude@palotina.pr.gov.br</t>
  </si>
  <si>
    <t>af.araucaria@gmail.com</t>
  </si>
  <si>
    <t>160722 </t>
  </si>
  <si>
    <t>ARIANE C. GALLERT LAB. DE ANÁLISES CLÍNICAS LTDA</t>
  </si>
  <si>
    <t>vidalab.analises@gmail.com</t>
  </si>
  <si>
    <t>ORTOPRIME &lt;ortoprimeopme@gmail.com&gt;</t>
  </si>
  <si>
    <t>ORTOPRIME DISTRIBUIDORA LTDA</t>
  </si>
  <si>
    <t>ESTETICA DANIELLE BOCCHI LTDA</t>
  </si>
  <si>
    <t>dani.bocchi@outlook.com</t>
  </si>
  <si>
    <t>farmacia.frg@cissaude.com.br</t>
  </si>
  <si>
    <t>GUILHERME WILSON DOS SANTOS LTDA</t>
  </si>
  <si>
    <t>MIKAELA FIORAVANTE LTDA</t>
  </si>
  <si>
    <t>FUNDO MUNICIPAL DE SAUDE DE TAMBOARA</t>
  </si>
  <si>
    <t>saude@tamboara.pr.gov.br</t>
  </si>
  <si>
    <t>160939 </t>
  </si>
  <si>
    <t>FERNANDA SANTANA FERREIRA SMOLAREK</t>
  </si>
  <si>
    <t>FESF@novonesis.com    -   AAPF</t>
  </si>
  <si>
    <t>160972 </t>
  </si>
  <si>
    <t>tayla.santos@hospitalparanagua.com</t>
  </si>
  <si>
    <t>161001 </t>
  </si>
  <si>
    <t>GOMES DA SILVA FARMACIA LTDA</t>
  </si>
  <si>
    <t>drogariavidamaispopular@gmail.com</t>
  </si>
  <si>
    <t> A. R. M. FARMA LTDA</t>
  </si>
  <si>
    <t>masterfarmamr@gmail.com - dados de emal e telefone</t>
  </si>
  <si>
    <t>26154390 </t>
  </si>
  <si>
    <t>MEGA MED FARMACIA LTDA M</t>
  </si>
  <si>
    <t>161256 </t>
  </si>
  <si>
    <t>26150712 </t>
  </si>
  <si>
    <t> PRADO &amp; SOUZA LTDA</t>
  </si>
  <si>
    <t>EDITORA E DISTRIBUIDORA EDUCACIONAL S/A</t>
  </si>
  <si>
    <t>26152951 </t>
  </si>
  <si>
    <t>26154570 </t>
  </si>
  <si>
    <t>TB ESTHETIC LTDA</t>
  </si>
  <si>
    <t>26154589 </t>
  </si>
  <si>
    <t> FARMÁCIA FARMAUTIL LTDA - FL 04</t>
  </si>
  <si>
    <t>26154583 </t>
  </si>
  <si>
    <t>161367 </t>
  </si>
  <si>
    <t xml:space="preserve"> FARMÁCIA FARMAUTIL LTDA </t>
  </si>
  <si>
    <t>as duas empresas estão atreladas, se demorarem p/ responder enviar por e-mail</t>
  </si>
  <si>
    <t>Larissa de Almeida Siqueira</t>
  </si>
  <si>
    <t>lari.a.siqueira@hotmail.com</t>
  </si>
  <si>
    <t>carolinas_alves@icloud.com</t>
  </si>
  <si>
    <t>ANA CAROLINA SOUZA ALVES</t>
  </si>
  <si>
    <t>tauanequintana25@gmail.com</t>
  </si>
  <si>
    <t>TAUANE APARECIDA QUINTANA</t>
  </si>
  <si>
    <t>deborasaugusto@gmail.com</t>
  </si>
  <si>
    <t>DEBORA STRASSBURG AUGUSTO</t>
  </si>
  <si>
    <t>CARMEN LIGIA PENTIADO SILVEIRA</t>
  </si>
  <si>
    <t>pentiado_cl@hotmail.com //  Luiz Fernando Freitas Silveira &lt;freitas_lfs@hotmail.com&gt;</t>
  </si>
  <si>
    <t>baixa ex oficcio</t>
  </si>
  <si>
    <t>162020 </t>
  </si>
  <si>
    <t>ARMÁCIA ANDREKOWICZ LTDA - ME</t>
  </si>
  <si>
    <t>MUNICIPIO DE CEU AZUL</t>
  </si>
  <si>
    <t>farmaciacentralceuazul@gmail.com</t>
  </si>
  <si>
    <t>OTHMAN &amp; OTHMAN CENTRO DE ESTETICA LTDA</t>
  </si>
  <si>
    <t>contato@martinseferri.com.br</t>
  </si>
  <si>
    <t>C&amp;Z - CENTRO DE ESTETICA ZAGO LTDA</t>
  </si>
  <si>
    <t>czhanna2010@gmail.com</t>
  </si>
  <si>
    <t>Yahya Iskandar Tricologia Clínica LTDA</t>
  </si>
  <si>
    <t>tricologiaoficial@gmail.com</t>
  </si>
  <si>
    <t>LUNIA ESTETICA LTDA</t>
  </si>
  <si>
    <t>nikitakaiser@hotmail.com</t>
  </si>
  <si>
    <t>gerencia@laboratoriodrmauricio.com.br</t>
  </si>
  <si>
    <t>26 unidades para alterar</t>
  </si>
  <si>
    <t>26154144 </t>
  </si>
  <si>
    <t>26152420 </t>
  </si>
  <si>
    <t>SALUTE COMÉRCIO DE MEDICAMENTOS LTDA FL 02</t>
  </si>
  <si>
    <t>26155434 </t>
  </si>
  <si>
    <t>SONDAFARMA COM MEDICAMENTOS LTDA</t>
  </si>
  <si>
    <t>LABMAR - LABORATÓRIO MÉDICO DE MARINGÁ LTDA - FL 09</t>
  </si>
  <si>
    <t>ELLEN VIEIRA - SAÚDE E ESTÉTICA LTDA</t>
  </si>
  <si>
    <t>26155542 </t>
  </si>
  <si>
    <t>LABMAR - LABORATORIO MEDICO DE MARINGA LTDA FL 02</t>
  </si>
  <si>
    <t>26155544 </t>
  </si>
  <si>
    <t>26155764 </t>
  </si>
  <si>
    <t>CLINILLAN VACINAS LTDA</t>
  </si>
  <si>
    <t>26155817 </t>
  </si>
  <si>
    <t>DARK BEAUTY FARMA LTDA</t>
  </si>
  <si>
    <t>26155839 </t>
  </si>
  <si>
    <t>26155984 </t>
  </si>
  <si>
    <t>RAMZAM &amp; RIPPEL LTDA - EPP</t>
  </si>
  <si>
    <t>26156012 </t>
  </si>
  <si>
    <t>26156044 </t>
  </si>
  <si>
    <t>ATHENA FARMACIA DE MANIPULACAO LTDA</t>
  </si>
  <si>
    <t>26156078 </t>
  </si>
  <si>
    <t>CENTRAL DE COMPRAS VIVER MAIS LTDA - EPP FL 01</t>
  </si>
  <si>
    <t>26156059 </t>
  </si>
  <si>
    <t xml:space="preserve">CENTRAL DE COMPRAS VIVER MAIS LTDA - EPP </t>
  </si>
  <si>
    <t>26156788 </t>
  </si>
  <si>
    <t>FARMÁCIA E DROGARIA NISSEI S/A - FL 149</t>
  </si>
  <si>
    <t>26156797 </t>
  </si>
  <si>
    <t>FARMÁCIA E DROGARIA NISSEI S/A - FL 348</t>
  </si>
  <si>
    <t>FARMÁCIA E DROGARIA NISSEI S/A FL 357.</t>
  </si>
  <si>
    <t>26156818 </t>
  </si>
  <si>
    <t>26157056 </t>
  </si>
  <si>
    <t>MUNICÍPIO DE RIO BRANCO DO SUL</t>
  </si>
  <si>
    <t>26157058 </t>
  </si>
  <si>
    <t>MUNICÍPIO DE FAZENDA RIO GRANDE</t>
  </si>
  <si>
    <t>Fatima Eliza Nunes Correa Ferralhi</t>
  </si>
  <si>
    <t xml:space="preserve">TRANSFERENCIA  ////    Fatima.ferralhi@outlook.com </t>
  </si>
  <si>
    <t>150848 </t>
  </si>
  <si>
    <t>BLUMEDICAL GROUP COMERCIO DE PRODUTOS PARA SAUDE LTDA</t>
  </si>
  <si>
    <t>qualidade@blumedical.com.br</t>
  </si>
  <si>
    <t>Vitale Terapias Integrativas</t>
  </si>
  <si>
    <t>MUNICÍPIO DE SÃO MANOEL DO PARANÁ</t>
  </si>
  <si>
    <t>163590 </t>
  </si>
  <si>
    <t>26157722 </t>
  </si>
  <si>
    <t>MUNICIPIO DE CAMBARÁ</t>
  </si>
  <si>
    <t>26158900 </t>
  </si>
  <si>
    <t>26158990 </t>
  </si>
  <si>
    <t>26158907 </t>
  </si>
  <si>
    <t>26158991 </t>
  </si>
  <si>
    <t>26158936 </t>
  </si>
  <si>
    <t>JOSE N PULCINELLI JUNIOR CORNÉLIO PROCOPIO - ME</t>
  </si>
  <si>
    <t>26158986 </t>
  </si>
  <si>
    <t>M2LIFE COMERCIAL IMPORTADORA E EXPORTADORA LTDA EPP</t>
  </si>
  <si>
    <t>A. E. CARLOTTO &amp; CIA LTDA</t>
  </si>
  <si>
    <t>C I S CENTRO INTEGRADO EM SAUDE LTDA</t>
  </si>
  <si>
    <t>ALTERA VINCULO</t>
  </si>
  <si>
    <t>PROMED DIST. MAT. E EQUIP. HOSPITALARES E ODONTOLOGICOS LTDA</t>
  </si>
  <si>
    <t>26162781 </t>
  </si>
  <si>
    <t>LANAC LABORATORIOS DE ANALISES</t>
  </si>
  <si>
    <t>FLAVIA: VER CERTIDÃO - qualidade@lanac.com.br registro</t>
  </si>
  <si>
    <t>FLAVIA: VER CERTIDÃO - administrativo@uniconectasc.com.br - registro</t>
  </si>
  <si>
    <t>cynthia.lobassi@posh.adv.br</t>
  </si>
  <si>
    <t>LABI EXAMES S.A.</t>
  </si>
  <si>
    <t>164080 </t>
  </si>
  <si>
    <t>ALINE FARIAS DA FONSECA</t>
  </si>
  <si>
    <t>saude@mauadaserra.pr.gov.br</t>
  </si>
  <si>
    <t>eduardo@dunaxrecovery.com.br</t>
  </si>
  <si>
    <t>DUNAX COMERCIO E SERVICOS ESPORTIVOS LTDA</t>
  </si>
  <si>
    <t>chrissoniteixeira@gmail.com</t>
  </si>
  <si>
    <t>VIDAMED COMERCIO DE MATERIAIS CIRURGICOS LTDA</t>
  </si>
  <si>
    <t>KAUANA AKEMI MAEBATA SERVICOS FARMACEUTICOS LTDA</t>
  </si>
  <si>
    <t>164349 </t>
  </si>
  <si>
    <t>kauana.osteo@gmail.com</t>
  </si>
  <si>
    <t>emanoelleferreira19@gmail.com</t>
  </si>
  <si>
    <t>CLINICA DERMAVIE LTDA</t>
  </si>
  <si>
    <t>GIORNO MEDICAMENTOS LTDA</t>
  </si>
  <si>
    <t>doscandistribuidora@gmail.com</t>
  </si>
  <si>
    <t>26157773 </t>
  </si>
  <si>
    <t>HOSPITAL POLICLÍNICA CASCAVEL S/A</t>
  </si>
  <si>
    <t>26157882 </t>
  </si>
  <si>
    <t>CENTRAL + FARMA LTDA</t>
  </si>
  <si>
    <t>26157883 </t>
  </si>
  <si>
    <t>26157954 </t>
  </si>
  <si>
    <t>ODILON MARCEL BINI - ME</t>
  </si>
  <si>
    <t>26158173 </t>
  </si>
  <si>
    <t> GESSICA VANESSA THOMAS LTDA</t>
  </si>
  <si>
    <t>26158531 </t>
  </si>
  <si>
    <t>FARMÁCIA ROLÂNDIA LTDA</t>
  </si>
  <si>
    <t>26158829 </t>
  </si>
  <si>
    <t>FARMAREIS COMÉRCIO DE MEDICAMENTOS E PERFUMARIA LTDA</t>
  </si>
  <si>
    <t>26158948 </t>
  </si>
  <si>
    <t>FARMACIA E DROGARIA NISSEI S/A FL 69</t>
  </si>
  <si>
    <t>26159064 </t>
  </si>
  <si>
    <t>LIMA &amp; MENEGOLO LTDA</t>
  </si>
  <si>
    <t>26159629 </t>
  </si>
  <si>
    <t>MEIQ LTDA</t>
  </si>
  <si>
    <t> SECRETARIA DE ESTADO DA SAÚDE</t>
  </si>
  <si>
    <t>152144 </t>
  </si>
  <si>
    <t>MCM FARMÁCIA E DROGARIA LTDA</t>
  </si>
  <si>
    <t>158831 </t>
  </si>
  <si>
    <t> JL TOLOTTI FARMACIA LTDA</t>
  </si>
  <si>
    <t>MEDIBIO LTDA</t>
  </si>
  <si>
    <t>157714 </t>
  </si>
  <si>
    <t>LABORATORIO PALARO &amp; FEDRIZZE LTDA</t>
  </si>
  <si>
    <t>HOSPITAL SANTA CRUZ S/A</t>
  </si>
  <si>
    <t>165626 </t>
  </si>
  <si>
    <t>CELIA YOKO SHIBUYA</t>
  </si>
  <si>
    <t>ELISANGELA SEVERINA DE MELO</t>
  </si>
  <si>
    <t>ZANATTA EQUIPAMENTOS MEDICOS LTDA</t>
  </si>
  <si>
    <t>AC2 Contabilidade &lt;contato@ac2contabilidade.com&gt;</t>
  </si>
  <si>
    <t>fernando@casaoxigenio.com.br</t>
  </si>
  <si>
    <t>dec estética</t>
  </si>
  <si>
    <t>PANATO SAUDE INTEGRADA LTDA</t>
  </si>
  <si>
    <t>CALUSA COMERCIO DE PERFUMES LTDA</t>
  </si>
  <si>
    <t>Diogo Marques &lt;dsmarques.farma@gmail.com&gt;</t>
  </si>
  <si>
    <t>166119 </t>
  </si>
  <si>
    <t> FUNDAÇÃO MUNICIPAL DE SAÚDE DE FOZ DO IGUAÇU.</t>
  </si>
  <si>
    <t>farmacia.hmpgl@gmail.com</t>
  </si>
  <si>
    <t>RAIA DROGASIL S/A - FL 453</t>
  </si>
  <si>
    <t>helocbalan@hotmail.com</t>
  </si>
  <si>
    <t>H C BALAN SAUDE INTEGRATIVA</t>
  </si>
  <si>
    <t>MARCIA DA PAZ COMERCIO DE GASES INDUSTRIAIS E MEDICINAIS</t>
  </si>
  <si>
    <t>oxipaz@oxipaz.com.br</t>
  </si>
  <si>
    <t>dec; cnes, ctt loca</t>
  </si>
  <si>
    <t>ALINE INOCENCIO FOLADOR</t>
  </si>
  <si>
    <t>aline.ifolador@gmail.com  /// cpf</t>
  </si>
  <si>
    <t xml:space="preserve">gabriela.marin@grupospconsult.com.br // solicitou retirada de procuradora no email solicitei declaração formal.; </t>
  </si>
  <si>
    <t>PREFEITURA MUNICIPAL DE RIO NEGRO</t>
  </si>
  <si>
    <t>rionegro.saude.farmacia@gmail.com</t>
  </si>
  <si>
    <t>166345 </t>
  </si>
  <si>
    <t>166425 </t>
  </si>
  <si>
    <t>166433 </t>
  </si>
  <si>
    <t>FARMÁCIA DE MANIPULAÇÃO VIVER PREV LTDA</t>
  </si>
  <si>
    <t>lucasrigo1@gmail.com</t>
  </si>
  <si>
    <t>gestao@remediobrasil.com.br</t>
  </si>
  <si>
    <t>FARMÁCIA POPULAR DE LONDRINA LTDA</t>
  </si>
  <si>
    <t>REQ</t>
  </si>
  <si>
    <t>farmaciaclaudiapg@gmail.com</t>
  </si>
  <si>
    <t>R &amp; S MEDICAMENTOS LTDA</t>
  </si>
  <si>
    <t>monteiro_contabilidade@outlook.com</t>
  </si>
  <si>
    <t>S FRANCA HARMONY LTDA</t>
  </si>
  <si>
    <t>bruna-20032011@hotmail.com</t>
  </si>
  <si>
    <t>LM M HOSPITALAR LTDA</t>
  </si>
  <si>
    <t>gabi.antikievicz@hotmail.com</t>
  </si>
  <si>
    <t>DIMED S/A - DISTRIBUIDORA DE MEDICAMENTOS</t>
  </si>
  <si>
    <t>DEC. EST</t>
  </si>
  <si>
    <t>DEC EST</t>
  </si>
  <si>
    <t>167437 </t>
  </si>
  <si>
    <t>FARMÁCIA FARMAÚTIL LTDA</t>
  </si>
  <si>
    <t>MHL MEDICAL LTDA</t>
  </si>
  <si>
    <t>farmaceutico@mmhmed.com.br</t>
  </si>
  <si>
    <t>seabra.aline.82@hotmail.com</t>
  </si>
  <si>
    <t>LVMH FASHION GROUP BRASIL LTDA.</t>
  </si>
  <si>
    <t>167610 </t>
  </si>
  <si>
    <t> LAB+ LABORATÓRIO SÃO JOSÉ LTDA</t>
  </si>
  <si>
    <t>laboratsaojose@hotmail.com // reabilitçaõ</t>
  </si>
  <si>
    <t>CENTRO MEDICO AUXILAR CLINI-LAB LTDA</t>
  </si>
  <si>
    <t>clinilab@onda.com.br // filial 0006</t>
  </si>
  <si>
    <t>CTT SOC ARQ JUNTA ou em cartorio</t>
  </si>
  <si>
    <t>FARMÁCIA VALE VERDE LTDA - FL 12</t>
  </si>
  <si>
    <t>termo de rescisão assinado CRIRO CESAR</t>
  </si>
  <si>
    <t>natalia.aparecida@vverde.com.br</t>
  </si>
  <si>
    <t>ISAC DIEGO DA ROSA</t>
  </si>
  <si>
    <t>ISAC DIEGO &lt;oximed.isac@hotmail.com&gt;</t>
  </si>
  <si>
    <t>VITAL PHARMA - DISTRIBUIDORA DE MEDICAMENTOS E PRODUTOS HOSPITALARES LTDA</t>
  </si>
  <si>
    <t>vitalpharmadist@gmail.com</t>
  </si>
  <si>
    <t>168011 </t>
  </si>
  <si>
    <t>CLÍNICA BIAVATTI LTDA</t>
  </si>
  <si>
    <t>debora@clinicabiavatti.com.br</t>
  </si>
  <si>
    <t>ortoprimeopme@gmail.com</t>
  </si>
  <si>
    <t>MUNICIPIO DE FAZENDA RIO GRANDE</t>
  </si>
  <si>
    <t>farmaciacentralfrg@gmail.com</t>
  </si>
  <si>
    <t>168152 </t>
  </si>
  <si>
    <t>RAFAELLE SCHNEIDER NOVAK DA SILVA</t>
  </si>
  <si>
    <t>168165 </t>
  </si>
  <si>
    <t>andressa@medeiroscontabilidade.com</t>
  </si>
  <si>
    <t>P. CASTRO SAUDE E ESTETICA LTDA</t>
  </si>
  <si>
    <t>rafaelleschneider@gmail.com</t>
  </si>
  <si>
    <t>yasmunizzz@outlook.com</t>
  </si>
  <si>
    <t>LYMAVI CLÍNICA LTDA</t>
  </si>
  <si>
    <t>administracao@clinicamoteleski.com.br</t>
  </si>
  <si>
    <t>MOTELESKI SAUDE E BEM ESTAR LTDA</t>
  </si>
  <si>
    <t>26159966 </t>
  </si>
  <si>
    <t>BARBARA ROSA LTDA</t>
  </si>
  <si>
    <t>26160291 </t>
  </si>
  <si>
    <t>21618 </t>
  </si>
  <si>
    <t>FARMACIA CACIOLA LTDA</t>
  </si>
  <si>
    <t>26160418 </t>
  </si>
  <si>
    <t> HARFUCH E OLIVEIRA LTDA</t>
  </si>
  <si>
    <t>FARMÁCIA PITANGA LTDA FL 05</t>
  </si>
  <si>
    <t>26161038 </t>
  </si>
  <si>
    <t>J GARCIA MUCHENSKI COMÉRCIO DE MEDICAMENTOS LTDA</t>
  </si>
  <si>
    <t>26161103 </t>
  </si>
  <si>
    <t>MUNICÍPIO DE ROSÁRIO DO IVAI</t>
  </si>
  <si>
    <t>26161718 </t>
  </si>
  <si>
    <t>WENDLAND FARMÁCIA LTDA</t>
  </si>
  <si>
    <t>26161722 </t>
  </si>
  <si>
    <t>PHARMACIAS AQUI TEM MINI PREÇOS MEDICAMENTOS LTDA - ME</t>
  </si>
  <si>
    <t>26161969 </t>
  </si>
  <si>
    <t>SULFARMA FARMÁCIAS LTDA</t>
  </si>
  <si>
    <t>WAFARMA LTDA</t>
  </si>
  <si>
    <t>davi@farmacias3000.com.br</t>
  </si>
  <si>
    <t> GINOFERTY CENTRO DE REPRODUCAO HUMANA LTDAT</t>
  </si>
  <si>
    <t>162886 </t>
  </si>
  <si>
    <t> A C DEMENEK &amp; DEMENEK LTDA</t>
  </si>
  <si>
    <t>26161772 </t>
  </si>
  <si>
    <t>FARMÁCIA DO POVO DE TOLEDO LTDA ME</t>
  </si>
  <si>
    <t>26162094 </t>
  </si>
  <si>
    <t>F. R. B. COMÉRCIO DE MEDICAMENTOS LTDA</t>
  </si>
  <si>
    <t>169214 </t>
  </si>
  <si>
    <t>destramedicamentos@gmail.com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</si>
</sst>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R$&quot;\ #,##0.00;\-&quot;R$&quot;\ #,##0.00"/>
    <numFmt numFmtId="43" formatCode="_-* #,##0.00_-;\-* #,##0.00_-;_-* &quot;-&quot;??_-;_-@_-"/>
    <numFmt numFmtId="164" formatCode="&quot;R$&quot;\ #,##0.00"/>
    <numFmt numFmtId="165" formatCode="0.0"/>
    <numFmt numFmtId="166" formatCode="[h]:mm"/>
    <numFmt numFmtId="167" formatCode="h:mm;@"/>
  </numFmts>
  <fonts count="45" x14ac:knownFonts="1">
    <font>
      <sz val="11"/>
      <color theme="1"/>
      <name val="Calibri"/>
      <family val="2"/>
      <scheme val="minor"/>
    </font>
    <font>
      <sz val="10"/>
      <color rgb="FFFF0000"/>
      <name val="Calibri Light"/>
      <family val="2"/>
      <scheme val="major"/>
    </font>
    <font>
      <sz val="10"/>
      <color theme="1"/>
      <name val="Calibri Light"/>
      <family val="2"/>
      <scheme val="major"/>
    </font>
    <font>
      <sz val="10"/>
      <color rgb="FF0000FF"/>
      <name val="Calibri Light"/>
      <family val="2"/>
      <scheme val="major"/>
    </font>
    <font>
      <b/>
      <sz val="11"/>
      <color theme="1"/>
      <name val="Calibri"/>
      <family val="2"/>
      <scheme val="minor"/>
    </font>
    <font>
      <sz val="11"/>
      <color rgb="FF333333"/>
      <name val="Calibri"/>
      <family val="2"/>
      <scheme val="minor"/>
    </font>
    <font>
      <sz val="11"/>
      <color theme="1"/>
      <name val="Calibri"/>
      <family val="2"/>
      <scheme val="minor"/>
    </font>
    <font>
      <sz val="8"/>
      <name val="Calibri"/>
      <family val="2"/>
      <scheme val="minor"/>
    </font>
    <font>
      <u/>
      <sz val="11"/>
      <color theme="10"/>
      <name val="Calibri"/>
      <family val="2"/>
      <scheme val="minor"/>
    </font>
    <font>
      <b/>
      <sz val="10"/>
      <color theme="9" tint="0.79998168889431442"/>
      <name val="Calibri"/>
      <family val="2"/>
      <scheme val="minor"/>
    </font>
    <font>
      <b/>
      <sz val="24"/>
      <color theme="9" tint="0.79998168889431442"/>
      <name val="Calibri"/>
      <family val="2"/>
      <scheme val="minor"/>
    </font>
    <font>
      <b/>
      <sz val="18"/>
      <color theme="9" tint="0.79998168889431442"/>
      <name val="Calibri"/>
      <family val="2"/>
      <scheme val="minor"/>
    </font>
    <font>
      <b/>
      <sz val="24"/>
      <color rgb="FFFF0000"/>
      <name val="Calibri"/>
      <family val="2"/>
      <scheme val="minor"/>
    </font>
    <font>
      <b/>
      <sz val="14"/>
      <color theme="9" tint="0.79998168889431442"/>
      <name val="Calibri"/>
      <family val="2"/>
      <scheme val="minor"/>
    </font>
    <font>
      <b/>
      <sz val="16"/>
      <color theme="9" tint="0.79998168889431442"/>
      <name val="Calibri"/>
      <family val="2"/>
      <scheme val="minor"/>
    </font>
    <font>
      <b/>
      <sz val="11"/>
      <color theme="9" tint="0.79998168889431442"/>
      <name val="Calibri"/>
      <family val="2"/>
      <scheme val="minor"/>
    </font>
    <font>
      <b/>
      <sz val="10"/>
      <color theme="1"/>
      <name val="Calibri"/>
      <family val="2"/>
      <scheme val="minor"/>
    </font>
    <font>
      <b/>
      <sz val="18"/>
      <color theme="1"/>
      <name val="Calibri"/>
      <family val="2"/>
      <scheme val="minor"/>
    </font>
    <font>
      <sz val="11"/>
      <name val="Calibri"/>
      <family val="2"/>
      <scheme val="minor"/>
    </font>
    <font>
      <sz val="11"/>
      <color rgb="FF333333"/>
      <name val="Source Sans Pro"/>
      <family val="2"/>
    </font>
    <font>
      <sz val="11"/>
      <color rgb="FF333333"/>
      <name val="Calibri"/>
      <family val="2"/>
    </font>
    <font>
      <sz val="14"/>
      <color theme="1"/>
      <name val="Calibri"/>
      <family val="2"/>
      <scheme val="minor"/>
    </font>
    <font>
      <b/>
      <sz val="16"/>
      <color theme="1"/>
      <name val="Calibri"/>
      <family val="2"/>
      <scheme val="minor"/>
    </font>
    <font>
      <b/>
      <sz val="14"/>
      <color theme="1"/>
      <name val="Calibri"/>
      <family val="2"/>
      <scheme val="minor"/>
    </font>
    <font>
      <b/>
      <sz val="11"/>
      <name val="Calibri"/>
      <family val="2"/>
      <scheme val="minor"/>
    </font>
    <font>
      <sz val="10"/>
      <name val="Arial"/>
      <family val="2"/>
      <charset val="1"/>
    </font>
    <font>
      <b/>
      <sz val="11"/>
      <name val="Arial"/>
      <family val="2"/>
      <charset val="1"/>
    </font>
    <font>
      <b/>
      <sz val="12"/>
      <color theme="1"/>
      <name val="Calibri"/>
      <family val="2"/>
      <scheme val="minor"/>
    </font>
    <font>
      <sz val="10"/>
      <color theme="1"/>
      <name val="Calibri"/>
      <family val="2"/>
      <scheme val="minor"/>
    </font>
    <font>
      <sz val="11"/>
      <color rgb="FF1C2C12"/>
      <name val="Calibri"/>
      <family val="2"/>
      <scheme val="minor"/>
    </font>
    <font>
      <u/>
      <sz val="11"/>
      <color rgb="FF1C2C12"/>
      <name val="Calibri"/>
      <family val="2"/>
      <scheme val="minor"/>
    </font>
    <font>
      <b/>
      <sz val="12"/>
      <color theme="9" tint="-0.499984740745262"/>
      <name val="Calibri"/>
      <family val="2"/>
      <scheme val="minor"/>
    </font>
    <font>
      <b/>
      <sz val="12"/>
      <color theme="1"/>
      <name val="Segoe UI"/>
      <family val="2"/>
    </font>
    <font>
      <b/>
      <sz val="10"/>
      <color theme="1"/>
      <name val="Segoe UI"/>
      <family val="2"/>
    </font>
    <font>
      <b/>
      <sz val="16"/>
      <color theme="1"/>
      <name val="Segoe UI"/>
      <family val="2"/>
    </font>
    <font>
      <b/>
      <sz val="14"/>
      <color rgb="FFFF0000"/>
      <name val="Calibri"/>
      <family val="2"/>
      <scheme val="minor"/>
    </font>
    <font>
      <sz val="12"/>
      <color theme="1"/>
      <name val="Calibri"/>
      <family val="2"/>
      <scheme val="minor"/>
    </font>
    <font>
      <b/>
      <sz val="14"/>
      <name val="Calibri"/>
      <family val="2"/>
      <scheme val="minor"/>
    </font>
    <font>
      <b/>
      <sz val="9"/>
      <color theme="1"/>
      <name val="Segoe UI"/>
      <family val="2"/>
    </font>
    <font>
      <b/>
      <sz val="12"/>
      <color theme="0"/>
      <name val="Calibri"/>
      <family val="2"/>
      <scheme val="minor"/>
    </font>
    <font>
      <b/>
      <i/>
      <sz val="11"/>
      <color theme="1"/>
      <name val="Calibri"/>
      <family val="2"/>
      <scheme val="minor"/>
    </font>
    <font>
      <u/>
      <sz val="11"/>
      <color theme="1"/>
      <name val="Calibri"/>
      <family val="2"/>
      <scheme val="minor"/>
    </font>
    <font>
      <b/>
      <u/>
      <sz val="11"/>
      <color theme="1"/>
      <name val="Calibri"/>
      <family val="2"/>
      <scheme val="minor"/>
    </font>
    <font>
      <b/>
      <sz val="12"/>
      <color rgb="FF000000"/>
      <name val="Calibri"/>
      <family val="2"/>
      <scheme val="minor"/>
    </font>
    <font>
      <sz val="9"/>
      <color indexed="81"/>
      <name val="Segoe UI"/>
      <charset val="1"/>
    </font>
  </fonts>
  <fills count="23">
    <fill>
      <patternFill patternType="none"/>
    </fill>
    <fill>
      <patternFill patternType="gray125"/>
    </fill>
    <fill>
      <patternFill patternType="solid">
        <fgColor rgb="FF00B0F0"/>
        <bgColor indexed="64"/>
      </patternFill>
    </fill>
    <fill>
      <patternFill patternType="solid">
        <fgColor theme="9" tint="-0.249977111117893"/>
        <bgColor indexed="64"/>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D9D9D9"/>
        <bgColor indexed="64"/>
      </patternFill>
    </fill>
    <fill>
      <patternFill patternType="solid">
        <fgColor rgb="FFDFDFDF"/>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7474"/>
        <bgColor indexed="64"/>
      </patternFill>
    </fill>
  </fills>
  <borders count="45">
    <border>
      <left/>
      <right/>
      <top/>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diagonal/>
    </border>
    <border>
      <left style="thin">
        <color rgb="FF92D050"/>
      </left>
      <right style="thin">
        <color rgb="FF92D050"/>
      </right>
      <top style="thin">
        <color rgb="FF92D050"/>
      </top>
      <bottom style="thin">
        <color rgb="FF92D05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dotted">
        <color theme="2" tint="-0.24994659260841701"/>
      </right>
      <top style="medium">
        <color indexed="64"/>
      </top>
      <bottom style="dotted">
        <color theme="2" tint="-0.24994659260841701"/>
      </bottom>
      <diagonal/>
    </border>
    <border>
      <left style="dotted">
        <color theme="2" tint="-0.24994659260841701"/>
      </left>
      <right style="thin">
        <color auto="1"/>
      </right>
      <top style="medium">
        <color indexed="64"/>
      </top>
      <bottom style="dotted">
        <color theme="2" tint="-0.24994659260841701"/>
      </bottom>
      <diagonal/>
    </border>
    <border>
      <left style="medium">
        <color indexed="64"/>
      </left>
      <right style="dotted">
        <color theme="2" tint="-0.24994659260841701"/>
      </right>
      <top style="dotted">
        <color theme="2" tint="-0.24994659260841701"/>
      </top>
      <bottom style="medium">
        <color indexed="64"/>
      </bottom>
      <diagonal/>
    </border>
    <border>
      <left style="dotted">
        <color theme="2" tint="-0.24994659260841701"/>
      </left>
      <right style="thin">
        <color auto="1"/>
      </right>
      <top style="dotted">
        <color theme="2" tint="-0.24994659260841701"/>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auto="1"/>
      </left>
      <right/>
      <top/>
      <bottom/>
      <diagonal/>
    </border>
    <border>
      <left/>
      <right/>
      <top style="thin">
        <color theme="0" tint="-0.14999847407452621"/>
      </top>
      <bottom/>
      <diagonal/>
    </border>
    <border>
      <left/>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hair">
        <color auto="1"/>
      </bottom>
      <diagonal/>
    </border>
  </borders>
  <cellStyleXfs count="4">
    <xf numFmtId="0" fontId="0" fillId="0" borderId="0"/>
    <xf numFmtId="0" fontId="6" fillId="0" borderId="0"/>
    <xf numFmtId="0" fontId="8" fillId="0" borderId="0" applyNumberFormat="0" applyFill="0" applyBorder="0" applyAlignment="0" applyProtection="0"/>
    <xf numFmtId="43" fontId="6" fillId="0" borderId="0" applyFont="0" applyFill="0" applyBorder="0" applyAlignment="0" applyProtection="0"/>
  </cellStyleXfs>
  <cellXfs count="184">
    <xf numFmtId="0" fontId="0" fillId="0" borderId="0" xfId="0"/>
    <xf numFmtId="0" fontId="1"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1" fillId="0" borderId="0" xfId="0" applyFont="1"/>
    <xf numFmtId="0" fontId="2" fillId="0" borderId="0" xfId="0" applyFont="1"/>
    <xf numFmtId="0" fontId="4" fillId="0" borderId="0" xfId="0" applyFont="1"/>
    <xf numFmtId="0" fontId="4" fillId="8" borderId="0" xfId="0" applyFont="1" applyFill="1"/>
    <xf numFmtId="0" fontId="4" fillId="6" borderId="0" xfId="0" applyFont="1" applyFill="1"/>
    <xf numFmtId="0" fontId="4" fillId="9" borderId="0" xfId="0" applyFont="1" applyFill="1"/>
    <xf numFmtId="0" fontId="4" fillId="10" borderId="0" xfId="0" applyFont="1" applyFill="1"/>
    <xf numFmtId="0" fontId="9" fillId="4" borderId="0" xfId="1" applyFont="1" applyFill="1" applyAlignment="1">
      <alignment horizontal="left" vertical="center"/>
    </xf>
    <xf numFmtId="164" fontId="10" fillId="4" borderId="4" xfId="1" applyNumberFormat="1" applyFont="1" applyFill="1" applyBorder="1" applyAlignment="1">
      <alignment horizontal="center" vertical="center"/>
    </xf>
    <xf numFmtId="0" fontId="11" fillId="4" borderId="4" xfId="1" applyFont="1" applyFill="1" applyBorder="1" applyAlignment="1">
      <alignment horizontal="center" vertical="center"/>
    </xf>
    <xf numFmtId="164" fontId="12" fillId="4" borderId="5" xfId="1" applyNumberFormat="1" applyFont="1" applyFill="1" applyBorder="1" applyAlignment="1">
      <alignment horizontal="center" vertical="center"/>
    </xf>
    <xf numFmtId="165" fontId="13" fillId="4" borderId="5" xfId="1" applyNumberFormat="1" applyFont="1" applyFill="1" applyBorder="1" applyAlignment="1">
      <alignment horizontal="center" vertical="center"/>
    </xf>
    <xf numFmtId="164" fontId="14" fillId="4" borderId="5" xfId="1" applyNumberFormat="1" applyFont="1" applyFill="1" applyBorder="1" applyAlignment="1">
      <alignment horizontal="center" vertical="center"/>
    </xf>
    <xf numFmtId="0" fontId="4" fillId="3" borderId="0" xfId="1" applyFont="1" applyFill="1" applyAlignment="1">
      <alignment horizontal="left" vertical="center"/>
    </xf>
    <xf numFmtId="0" fontId="15" fillId="4" borderId="0" xfId="1" applyFont="1" applyFill="1" applyAlignment="1">
      <alignment horizontal="left" vertical="center"/>
    </xf>
    <xf numFmtId="0" fontId="4" fillId="4" borderId="0" xfId="1" applyFont="1" applyFill="1" applyAlignment="1">
      <alignment horizontal="left" vertical="center"/>
    </xf>
    <xf numFmtId="0" fontId="4" fillId="5" borderId="0" xfId="1" applyFont="1" applyFill="1" applyAlignment="1">
      <alignment horizontal="left" vertical="center"/>
    </xf>
    <xf numFmtId="0" fontId="15" fillId="4" borderId="0" xfId="1" applyFont="1" applyFill="1" applyAlignment="1">
      <alignment horizontal="center" vertical="center"/>
    </xf>
    <xf numFmtId="164" fontId="15" fillId="4" borderId="4" xfId="1" applyNumberFormat="1" applyFont="1" applyFill="1" applyBorder="1" applyAlignment="1">
      <alignment horizontal="center" vertical="center"/>
    </xf>
    <xf numFmtId="164" fontId="15" fillId="4" borderId="0" xfId="1" applyNumberFormat="1" applyFont="1" applyFill="1" applyAlignment="1">
      <alignment horizontal="left" vertical="center"/>
    </xf>
    <xf numFmtId="0" fontId="16" fillId="2" borderId="0" xfId="1" applyFont="1" applyFill="1" applyAlignment="1">
      <alignment horizontal="left" vertical="center"/>
    </xf>
    <xf numFmtId="0" fontId="4" fillId="2" borderId="0" xfId="1" applyFont="1" applyFill="1" applyAlignment="1">
      <alignment horizontal="left" vertical="center"/>
    </xf>
    <xf numFmtId="0" fontId="9" fillId="4" borderId="5" xfId="1" applyFont="1" applyFill="1" applyBorder="1" applyAlignment="1">
      <alignment horizontal="left" vertical="center"/>
    </xf>
    <xf numFmtId="0" fontId="4" fillId="0" borderId="0" xfId="1" applyFont="1" applyAlignment="1">
      <alignment horizontal="left" vertical="center"/>
    </xf>
    <xf numFmtId="167" fontId="0" fillId="0" borderId="0" xfId="0" applyNumberFormat="1"/>
    <xf numFmtId="166" fontId="0" fillId="6" borderId="8" xfId="0" applyNumberFormat="1" applyFill="1" applyBorder="1" applyAlignment="1" applyProtection="1">
      <alignment horizontal="center" vertical="center"/>
      <protection locked="0"/>
    </xf>
    <xf numFmtId="166" fontId="0" fillId="6" borderId="9" xfId="0" applyNumberFormat="1" applyFill="1" applyBorder="1" applyAlignment="1" applyProtection="1">
      <alignment horizontal="center" vertical="center"/>
      <protection locked="0"/>
    </xf>
    <xf numFmtId="166" fontId="0" fillId="6" borderId="10" xfId="0" applyNumberFormat="1" applyFill="1" applyBorder="1" applyAlignment="1" applyProtection="1">
      <alignment horizontal="center" vertical="center"/>
      <protection locked="0"/>
    </xf>
    <xf numFmtId="166" fontId="0" fillId="6" borderId="11" xfId="0" applyNumberFormat="1" applyFill="1" applyBorder="1" applyAlignment="1" applyProtection="1">
      <alignment horizontal="center" vertical="center"/>
      <protection locked="0"/>
    </xf>
    <xf numFmtId="0" fontId="0" fillId="8" borderId="0" xfId="0" applyFill="1"/>
    <xf numFmtId="0" fontId="0" fillId="6" borderId="0" xfId="0" applyFill="1"/>
    <xf numFmtId="0" fontId="0" fillId="9" borderId="0" xfId="0" applyFill="1"/>
    <xf numFmtId="0" fontId="0" fillId="10" borderId="0" xfId="0" applyFill="1"/>
    <xf numFmtId="0" fontId="0" fillId="0" borderId="14" xfId="0" applyBorder="1" applyAlignment="1">
      <alignment horizontal="left" vertical="center" wrapText="1"/>
    </xf>
    <xf numFmtId="0" fontId="0" fillId="0" borderId="0" xfId="0" applyAlignment="1">
      <alignment horizontal="center"/>
    </xf>
    <xf numFmtId="0" fontId="18" fillId="0" borderId="0" xfId="0" applyFont="1"/>
    <xf numFmtId="0" fontId="18" fillId="0" borderId="0" xfId="0" applyFont="1" applyAlignment="1">
      <alignment horizontal="right"/>
    </xf>
    <xf numFmtId="14" fontId="18" fillId="0" borderId="0" xfId="0" applyNumberFormat="1" applyFont="1"/>
    <xf numFmtId="0" fontId="18" fillId="5" borderId="0" xfId="0" applyFont="1" applyFill="1"/>
    <xf numFmtId="0" fontId="5" fillId="0" borderId="0" xfId="0" applyFont="1"/>
    <xf numFmtId="0" fontId="18" fillId="5" borderId="0" xfId="0" applyFont="1" applyFill="1" applyAlignment="1">
      <alignment horizontal="right"/>
    </xf>
    <xf numFmtId="0" fontId="21" fillId="0" borderId="0" xfId="0" applyFont="1"/>
    <xf numFmtId="0" fontId="21" fillId="0" borderId="0" xfId="0" applyFont="1" applyAlignment="1">
      <alignment vertical="center"/>
    </xf>
    <xf numFmtId="0" fontId="21" fillId="5" borderId="0" xfId="0" applyFont="1" applyFill="1"/>
    <xf numFmtId="0" fontId="4" fillId="0" borderId="18" xfId="0" applyFont="1" applyBorder="1"/>
    <xf numFmtId="0" fontId="21" fillId="5" borderId="0" xfId="0" applyFont="1" applyFill="1" applyAlignment="1">
      <alignment vertical="center"/>
    </xf>
    <xf numFmtId="0" fontId="24" fillId="0" borderId="0" xfId="0" applyFont="1"/>
    <xf numFmtId="0" fontId="4" fillId="0" borderId="15" xfId="0" applyFont="1" applyBorder="1"/>
    <xf numFmtId="0" fontId="21" fillId="0" borderId="0" xfId="0" applyFont="1" applyAlignment="1">
      <alignment horizontal="left" vertical="center" wrapText="1"/>
    </xf>
    <xf numFmtId="0" fontId="23" fillId="7" borderId="0" xfId="0" applyFont="1" applyFill="1" applyAlignment="1">
      <alignment horizontal="center" vertical="center" wrapText="1"/>
    </xf>
    <xf numFmtId="0" fontId="21" fillId="0" borderId="0" xfId="0" applyFont="1" applyAlignment="1">
      <alignment horizontal="left" wrapText="1"/>
    </xf>
    <xf numFmtId="0" fontId="23" fillId="11" borderId="0" xfId="0" applyFont="1" applyFill="1" applyAlignment="1">
      <alignment horizontal="center" vertical="center" wrapText="1"/>
    </xf>
    <xf numFmtId="0" fontId="21" fillId="0" borderId="0" xfId="0" applyFont="1" applyAlignment="1">
      <alignment horizontal="center" vertical="center"/>
    </xf>
    <xf numFmtId="0" fontId="4" fillId="7" borderId="0" xfId="0" applyFont="1" applyFill="1" applyAlignment="1">
      <alignment horizontal="center" vertical="center"/>
    </xf>
    <xf numFmtId="0" fontId="21" fillId="0" borderId="0" xfId="0" applyFont="1" applyAlignment="1">
      <alignment horizontal="center"/>
    </xf>
    <xf numFmtId="0" fontId="21" fillId="0" borderId="6" xfId="0" applyFont="1" applyBorder="1" applyAlignment="1">
      <alignment horizontal="center" vertical="center"/>
    </xf>
    <xf numFmtId="0" fontId="29" fillId="0" borderId="0" xfId="0" applyFont="1"/>
    <xf numFmtId="0" fontId="29" fillId="0" borderId="0" xfId="0" applyFont="1" applyAlignment="1">
      <alignment wrapText="1"/>
    </xf>
    <xf numFmtId="0" fontId="27" fillId="0" borderId="0" xfId="0" applyFont="1" applyAlignment="1">
      <alignment horizontal="left" vertical="center"/>
    </xf>
    <xf numFmtId="0" fontId="33" fillId="5" borderId="0" xfId="0" applyFont="1" applyFill="1" applyAlignment="1" applyProtection="1">
      <alignment horizontal="center"/>
      <protection locked="0"/>
    </xf>
    <xf numFmtId="0" fontId="33" fillId="5" borderId="0" xfId="0" applyFont="1" applyFill="1" applyProtection="1">
      <protection locked="0"/>
    </xf>
    <xf numFmtId="0" fontId="34" fillId="0" borderId="0" xfId="0" applyFont="1" applyAlignment="1" applyProtection="1">
      <alignment horizontal="center"/>
      <protection locked="0"/>
    </xf>
    <xf numFmtId="43" fontId="0" fillId="0" borderId="0" xfId="3" applyFont="1"/>
    <xf numFmtId="49" fontId="35" fillId="0" borderId="0" xfId="0" applyNumberFormat="1" applyFont="1" applyAlignment="1">
      <alignment vertical="center" wrapText="1"/>
    </xf>
    <xf numFmtId="0" fontId="35" fillId="0" borderId="0" xfId="0" applyFont="1" applyAlignment="1">
      <alignment horizontal="center"/>
    </xf>
    <xf numFmtId="0" fontId="23" fillId="0" borderId="0" xfId="0" applyFont="1"/>
    <xf numFmtId="0" fontId="35" fillId="0" borderId="0" xfId="0" applyFont="1"/>
    <xf numFmtId="43" fontId="32" fillId="0" borderId="0" xfId="3" applyFont="1" applyFill="1" applyAlignment="1" applyProtection="1">
      <alignment horizontal="center" vertical="center"/>
      <protection hidden="1"/>
    </xf>
    <xf numFmtId="0" fontId="25" fillId="0" borderId="28" xfId="0" applyFont="1" applyBorder="1" applyAlignment="1">
      <alignment horizontal="left"/>
    </xf>
    <xf numFmtId="0" fontId="25" fillId="0" borderId="28" xfId="0" applyFont="1" applyBorder="1" applyAlignment="1">
      <alignment vertical="center"/>
    </xf>
    <xf numFmtId="0" fontId="25" fillId="0" borderId="28" xfId="0" applyFont="1" applyBorder="1" applyAlignment="1">
      <alignment horizontal="left" vertical="center" wrapText="1"/>
    </xf>
    <xf numFmtId="0" fontId="25" fillId="0" borderId="30" xfId="0" applyFont="1" applyBorder="1" applyAlignment="1">
      <alignment horizontal="left"/>
    </xf>
    <xf numFmtId="0" fontId="31" fillId="8" borderId="0" xfId="0" applyFont="1" applyFill="1" applyAlignment="1">
      <alignment horizontal="center" vertical="center"/>
    </xf>
    <xf numFmtId="0" fontId="29" fillId="0" borderId="0" xfId="0" applyFont="1" applyAlignment="1">
      <alignment horizontal="center"/>
    </xf>
    <xf numFmtId="43" fontId="32" fillId="0" borderId="0" xfId="3" applyFont="1" applyFill="1" applyAlignment="1" applyProtection="1">
      <alignment vertical="top"/>
      <protection hidden="1"/>
    </xf>
    <xf numFmtId="0" fontId="21" fillId="0" borderId="0" xfId="0" applyFont="1" applyAlignment="1">
      <alignment horizontal="center" vertical="center" wrapText="1"/>
    </xf>
    <xf numFmtId="0" fontId="22" fillId="7" borderId="0" xfId="0" applyFont="1" applyFill="1" applyAlignment="1">
      <alignment horizontal="center" vertical="center" wrapText="1"/>
    </xf>
    <xf numFmtId="0" fontId="36" fillId="0" borderId="0" xfId="0" applyFont="1" applyAlignment="1">
      <alignment horizontal="left" vertical="center" wrapText="1"/>
    </xf>
    <xf numFmtId="0" fontId="36" fillId="0" borderId="0" xfId="0" applyFont="1" applyAlignment="1">
      <alignment horizontal="left" wrapText="1"/>
    </xf>
    <xf numFmtId="0" fontId="36" fillId="0" borderId="0" xfId="0" applyFont="1" applyAlignment="1">
      <alignment vertical="center" wrapText="1"/>
    </xf>
    <xf numFmtId="0" fontId="30" fillId="8" borderId="0" xfId="2" applyFont="1" applyFill="1" applyAlignment="1">
      <alignment horizontal="center"/>
    </xf>
    <xf numFmtId="0" fontId="0" fillId="8" borderId="0" xfId="0" applyFill="1" applyAlignment="1">
      <alignment horizontal="center"/>
    </xf>
    <xf numFmtId="0" fontId="0" fillId="15" borderId="0" xfId="0" applyFill="1"/>
    <xf numFmtId="0" fontId="17" fillId="16" borderId="0" xfId="0" applyFont="1" applyFill="1" applyAlignment="1">
      <alignment horizontal="center"/>
    </xf>
    <xf numFmtId="0" fontId="0" fillId="16" borderId="0" xfId="0" applyFill="1"/>
    <xf numFmtId="0" fontId="0" fillId="16" borderId="0" xfId="0" applyFill="1" applyAlignment="1">
      <alignment horizontal="left"/>
    </xf>
    <xf numFmtId="0" fontId="4" fillId="16" borderId="0" xfId="0" applyFont="1" applyFill="1" applyAlignment="1">
      <alignment vertical="center"/>
    </xf>
    <xf numFmtId="0" fontId="18" fillId="16" borderId="0" xfId="0" applyFont="1" applyFill="1" applyAlignment="1">
      <alignment horizontal="left" vertical="center" wrapText="1"/>
    </xf>
    <xf numFmtId="0" fontId="4" fillId="0" borderId="24" xfId="0" applyFont="1" applyBorder="1" applyAlignment="1">
      <alignment horizontal="center" vertical="center"/>
    </xf>
    <xf numFmtId="0" fontId="0" fillId="7" borderId="0" xfId="0" applyFill="1" applyAlignment="1">
      <alignment vertical="center"/>
    </xf>
    <xf numFmtId="43" fontId="32" fillId="7" borderId="0" xfId="3" applyFont="1" applyFill="1" applyAlignment="1" applyProtection="1">
      <alignment vertical="center"/>
      <protection hidden="1"/>
    </xf>
    <xf numFmtId="7" fontId="32" fillId="7" borderId="0" xfId="3" applyNumberFormat="1" applyFont="1" applyFill="1" applyAlignment="1" applyProtection="1">
      <alignment horizontal="center" vertical="center"/>
      <protection hidden="1"/>
    </xf>
    <xf numFmtId="164" fontId="4" fillId="0" borderId="0" xfId="3" applyNumberFormat="1" applyFont="1" applyAlignment="1">
      <alignment horizontal="center"/>
    </xf>
    <xf numFmtId="164" fontId="4" fillId="0" borderId="0" xfId="0" applyNumberFormat="1" applyFont="1" applyAlignment="1">
      <alignment horizontal="center"/>
    </xf>
    <xf numFmtId="43" fontId="0" fillId="0" borderId="32" xfId="3" applyFont="1" applyBorder="1"/>
    <xf numFmtId="43" fontId="0" fillId="0" borderId="33" xfId="3" applyFont="1" applyBorder="1"/>
    <xf numFmtId="164" fontId="4" fillId="0" borderId="34" xfId="3" applyNumberFormat="1" applyFont="1" applyBorder="1" applyAlignment="1">
      <alignment horizontal="center" vertical="center"/>
    </xf>
    <xf numFmtId="43" fontId="32" fillId="0" borderId="0" xfId="3" applyFont="1" applyFill="1" applyBorder="1" applyAlignment="1" applyProtection="1">
      <alignment vertical="top"/>
      <protection hidden="1"/>
    </xf>
    <xf numFmtId="49" fontId="35" fillId="17" borderId="0" xfId="0" applyNumberFormat="1" applyFont="1" applyFill="1" applyAlignment="1">
      <alignment horizontal="center" vertical="center" wrapText="1"/>
    </xf>
    <xf numFmtId="0" fontId="17" fillId="18" borderId="0" xfId="0" applyFont="1" applyFill="1" applyAlignment="1">
      <alignment horizontal="center" vertical="center"/>
    </xf>
    <xf numFmtId="7" fontId="32" fillId="14" borderId="0" xfId="3" applyNumberFormat="1" applyFont="1" applyFill="1" applyAlignment="1" applyProtection="1">
      <alignment horizontal="center" vertical="center"/>
      <protection hidden="1"/>
    </xf>
    <xf numFmtId="0" fontId="0" fillId="19" borderId="0" xfId="0" applyFill="1" applyAlignment="1">
      <alignment horizontal="center"/>
    </xf>
    <xf numFmtId="0" fontId="0" fillId="19" borderId="0" xfId="0" applyFill="1"/>
    <xf numFmtId="0" fontId="17" fillId="19" borderId="0" xfId="0" applyFont="1" applyFill="1" applyAlignment="1">
      <alignment horizontal="center"/>
    </xf>
    <xf numFmtId="0" fontId="16" fillId="9" borderId="0" xfId="0" applyFont="1" applyFill="1" applyAlignment="1">
      <alignment horizontal="center" vertical="center" wrapText="1"/>
    </xf>
    <xf numFmtId="0" fontId="16" fillId="8" borderId="0" xfId="0" applyFont="1" applyFill="1" applyAlignment="1">
      <alignment horizontal="center" vertical="center" wrapText="1"/>
    </xf>
    <xf numFmtId="0" fontId="4" fillId="19" borderId="0" xfId="0" applyFont="1" applyFill="1"/>
    <xf numFmtId="0" fontId="4" fillId="0" borderId="16" xfId="0" applyFont="1" applyBorder="1"/>
    <xf numFmtId="0" fontId="4" fillId="0" borderId="17" xfId="0" applyFont="1" applyBorder="1"/>
    <xf numFmtId="0" fontId="4" fillId="0" borderId="19" xfId="0" applyFont="1" applyBorder="1"/>
    <xf numFmtId="0" fontId="39" fillId="3" borderId="1" xfId="0" applyFont="1" applyFill="1" applyBorder="1" applyAlignment="1">
      <alignment vertical="center" wrapText="1"/>
    </xf>
    <xf numFmtId="0" fontId="39" fillId="3" borderId="2" xfId="0" applyFont="1" applyFill="1" applyBorder="1" applyAlignment="1">
      <alignment vertical="center" wrapText="1"/>
    </xf>
    <xf numFmtId="0" fontId="39" fillId="3" borderId="3" xfId="0" applyFont="1" applyFill="1" applyBorder="1" applyAlignment="1">
      <alignment vertical="center" wrapText="1"/>
    </xf>
    <xf numFmtId="0" fontId="39" fillId="7" borderId="0" xfId="0" applyFont="1" applyFill="1" applyAlignment="1">
      <alignment vertical="center"/>
    </xf>
    <xf numFmtId="0" fontId="23" fillId="20" borderId="0" xfId="0" applyFont="1" applyFill="1" applyAlignment="1">
      <alignment horizontal="center" vertical="center"/>
    </xf>
    <xf numFmtId="0" fontId="26" fillId="20" borderId="27" xfId="0" applyFont="1" applyFill="1" applyBorder="1" applyAlignment="1">
      <alignment horizontal="left" vertical="center" wrapText="1"/>
    </xf>
    <xf numFmtId="0" fontId="8" fillId="0" borderId="0" xfId="2"/>
    <xf numFmtId="0" fontId="0" fillId="0" borderId="0" xfId="0" applyAlignment="1">
      <alignment wrapText="1"/>
    </xf>
    <xf numFmtId="0" fontId="4" fillId="0" borderId="0" xfId="0" applyFont="1" applyAlignment="1">
      <alignment vertical="center"/>
    </xf>
    <xf numFmtId="0" fontId="0" fillId="0" borderId="0" xfId="0" applyAlignment="1">
      <alignment vertical="center"/>
    </xf>
    <xf numFmtId="0" fontId="0" fillId="0" borderId="0" xfId="0" applyAlignment="1">
      <alignment horizontal="left" vertical="center" wrapText="1"/>
    </xf>
    <xf numFmtId="0" fontId="4" fillId="0" borderId="0" xfId="0" applyFont="1" applyAlignment="1">
      <alignment horizontal="center" vertical="center"/>
    </xf>
    <xf numFmtId="0" fontId="18" fillId="21" borderId="0" xfId="0" applyFont="1" applyFill="1" applyAlignment="1">
      <alignment horizontal="right"/>
    </xf>
    <xf numFmtId="14" fontId="18" fillId="21" borderId="0" xfId="0" applyNumberFormat="1" applyFont="1" applyFill="1"/>
    <xf numFmtId="0" fontId="18" fillId="21" borderId="0" xfId="0" applyFont="1" applyFill="1"/>
    <xf numFmtId="0" fontId="0" fillId="21" borderId="0" xfId="0" applyFill="1"/>
    <xf numFmtId="0" fontId="24" fillId="22" borderId="0" xfId="0" applyFont="1" applyFill="1" applyAlignment="1">
      <alignment horizontal="right"/>
    </xf>
    <xf numFmtId="14" fontId="24" fillId="22" borderId="0" xfId="0" applyNumberFormat="1" applyFont="1" applyFill="1"/>
    <xf numFmtId="0" fontId="24" fillId="22" borderId="0" xfId="0" applyFont="1" applyFill="1"/>
    <xf numFmtId="16" fontId="0" fillId="0" borderId="0" xfId="0" applyNumberFormat="1"/>
    <xf numFmtId="0" fontId="39" fillId="3" borderId="2" xfId="0" applyFont="1" applyFill="1" applyBorder="1" applyAlignment="1">
      <alignment horizontal="center" vertical="center" wrapText="1"/>
    </xf>
    <xf numFmtId="0" fontId="18" fillId="0" borderId="0" xfId="0" applyFont="1" applyAlignment="1">
      <alignment horizontal="center"/>
    </xf>
    <xf numFmtId="0" fontId="5" fillId="0" borderId="0" xfId="0" applyFont="1" applyAlignment="1">
      <alignment horizontal="center"/>
    </xf>
    <xf numFmtId="0" fontId="19" fillId="0" borderId="0" xfId="0" applyFont="1" applyAlignment="1">
      <alignment horizontal="center"/>
    </xf>
    <xf numFmtId="0" fontId="20" fillId="0" borderId="0" xfId="0" applyFont="1" applyAlignment="1">
      <alignment horizontal="center"/>
    </xf>
    <xf numFmtId="0" fontId="18" fillId="5" borderId="0" xfId="0" applyFont="1" applyFill="1" applyAlignment="1">
      <alignment horizontal="center"/>
    </xf>
    <xf numFmtId="0" fontId="18" fillId="21" borderId="0" xfId="0" applyFont="1" applyFill="1" applyAlignment="1">
      <alignment horizontal="center"/>
    </xf>
    <xf numFmtId="0" fontId="24" fillId="22" borderId="0" xfId="0" applyFont="1" applyFill="1" applyAlignment="1">
      <alignment horizontal="center"/>
    </xf>
    <xf numFmtId="0" fontId="32" fillId="5" borderId="0" xfId="0" applyFont="1" applyFill="1" applyAlignment="1" applyProtection="1">
      <alignment horizontal="center"/>
      <protection locked="0"/>
    </xf>
    <xf numFmtId="0" fontId="34" fillId="12" borderId="0" xfId="0" applyFont="1" applyFill="1" applyAlignment="1" applyProtection="1">
      <alignment horizontal="center" vertical="center"/>
      <protection locked="0"/>
    </xf>
    <xf numFmtId="0" fontId="0" fillId="13" borderId="0" xfId="0" applyFill="1" applyAlignment="1">
      <alignment horizontal="center"/>
    </xf>
    <xf numFmtId="49" fontId="37" fillId="17" borderId="0" xfId="0" applyNumberFormat="1" applyFont="1" applyFill="1" applyAlignment="1">
      <alignment horizontal="center" vertical="center" wrapText="1"/>
    </xf>
    <xf numFmtId="0" fontId="38" fillId="5" borderId="0" xfId="0" applyFont="1" applyFill="1" applyAlignment="1" applyProtection="1">
      <alignment horizontal="center"/>
      <protection locked="0"/>
    </xf>
    <xf numFmtId="0" fontId="24" fillId="8" borderId="31" xfId="0" applyFont="1" applyFill="1" applyBorder="1" applyAlignment="1">
      <alignment horizontal="center" vertical="center" wrapText="1"/>
    </xf>
    <xf numFmtId="0" fontId="24" fillId="8" borderId="0" xfId="0" applyFont="1" applyFill="1" applyAlignment="1">
      <alignment horizontal="center" vertical="center" wrapText="1"/>
    </xf>
    <xf numFmtId="0" fontId="27" fillId="7" borderId="0" xfId="0" applyFont="1" applyFill="1" applyAlignment="1">
      <alignment horizontal="center" vertical="center"/>
    </xf>
    <xf numFmtId="0" fontId="28" fillId="16" borderId="0" xfId="0" applyFont="1" applyFill="1" applyAlignment="1">
      <alignment horizontal="center" vertical="center" wrapText="1"/>
    </xf>
    <xf numFmtId="0" fontId="0" fillId="16" borderId="44" xfId="0" applyFill="1" applyBorder="1" applyAlignment="1">
      <alignment horizontal="center"/>
    </xf>
    <xf numFmtId="0" fontId="43" fillId="0" borderId="26" xfId="0" applyFont="1" applyBorder="1" applyAlignment="1">
      <alignment horizontal="center" vertical="center"/>
    </xf>
    <xf numFmtId="0" fontId="43" fillId="0" borderId="25" xfId="0" applyFont="1" applyBorder="1" applyAlignment="1">
      <alignment horizontal="center" vertical="center"/>
    </xf>
    <xf numFmtId="167" fontId="0" fillId="8" borderId="6" xfId="0" applyNumberFormat="1" applyFill="1" applyBorder="1" applyAlignment="1">
      <alignment horizontal="center" wrapText="1"/>
    </xf>
    <xf numFmtId="167" fontId="0" fillId="8" borderId="12" xfId="0" applyNumberFormat="1" applyFill="1" applyBorder="1" applyAlignment="1">
      <alignment horizontal="center" wrapText="1"/>
    </xf>
    <xf numFmtId="167" fontId="0" fillId="8" borderId="13" xfId="0" applyNumberFormat="1" applyFill="1" applyBorder="1" applyAlignment="1">
      <alignment horizontal="center" wrapText="1"/>
    </xf>
    <xf numFmtId="167" fontId="0" fillId="8" borderId="28" xfId="0" applyNumberFormat="1" applyFill="1" applyBorder="1" applyAlignment="1">
      <alignment horizontal="center" wrapText="1"/>
    </xf>
    <xf numFmtId="167" fontId="0" fillId="8" borderId="37" xfId="0" applyNumberFormat="1" applyFill="1" applyBorder="1" applyAlignment="1">
      <alignment horizontal="center" wrapText="1"/>
    </xf>
    <xf numFmtId="167" fontId="0" fillId="8" borderId="7" xfId="0" applyNumberFormat="1" applyFill="1" applyBorder="1" applyAlignment="1">
      <alignment horizontal="center" wrapText="1"/>
    </xf>
    <xf numFmtId="167" fontId="0" fillId="6" borderId="28" xfId="0" applyNumberFormat="1" applyFill="1" applyBorder="1" applyAlignment="1">
      <alignment horizontal="center" wrapText="1"/>
    </xf>
    <xf numFmtId="167" fontId="0" fillId="6" borderId="6" xfId="0" applyNumberFormat="1" applyFill="1" applyBorder="1" applyAlignment="1">
      <alignment horizontal="center" wrapText="1"/>
    </xf>
    <xf numFmtId="0" fontId="0" fillId="7" borderId="15" xfId="0" applyFill="1" applyBorder="1" applyAlignment="1">
      <alignment horizontal="center"/>
    </xf>
    <xf numFmtId="0" fontId="0" fillId="7" borderId="35" xfId="0" applyFill="1" applyBorder="1" applyAlignment="1">
      <alignment horizontal="center"/>
    </xf>
    <xf numFmtId="0" fontId="0" fillId="7" borderId="36" xfId="0" applyFill="1" applyBorder="1" applyAlignment="1">
      <alignment horizontal="center"/>
    </xf>
    <xf numFmtId="0" fontId="4" fillId="0" borderId="18" xfId="0" applyFont="1" applyBorder="1" applyAlignment="1">
      <alignment horizontal="left"/>
    </xf>
    <xf numFmtId="0" fontId="4" fillId="0" borderId="0" xfId="0" applyFont="1" applyAlignment="1">
      <alignment horizontal="left"/>
    </xf>
    <xf numFmtId="0" fontId="4" fillId="0" borderId="19" xfId="0" applyFont="1" applyBorder="1" applyAlignment="1">
      <alignment horizontal="left"/>
    </xf>
    <xf numFmtId="0" fontId="4" fillId="0" borderId="20" xfId="0" applyFont="1" applyBorder="1" applyAlignment="1">
      <alignment horizontal="left"/>
    </xf>
    <xf numFmtId="0" fontId="4" fillId="0" borderId="21" xfId="0" applyFont="1" applyBorder="1" applyAlignment="1">
      <alignment horizontal="left"/>
    </xf>
    <xf numFmtId="0" fontId="4" fillId="0" borderId="22" xfId="0" applyFont="1" applyBorder="1" applyAlignment="1">
      <alignment horizontal="left"/>
    </xf>
    <xf numFmtId="167" fontId="0" fillId="8" borderId="38" xfId="0" applyNumberFormat="1" applyFill="1" applyBorder="1" applyAlignment="1">
      <alignment horizontal="center" wrapText="1"/>
    </xf>
    <xf numFmtId="166" fontId="0" fillId="10" borderId="41" xfId="0" applyNumberFormat="1" applyFill="1" applyBorder="1" applyAlignment="1">
      <alignment horizontal="center" wrapText="1"/>
    </xf>
    <xf numFmtId="0" fontId="0" fillId="10" borderId="42" xfId="0" applyFill="1" applyBorder="1" applyAlignment="1">
      <alignment horizontal="center" wrapText="1"/>
    </xf>
    <xf numFmtId="0" fontId="0" fillId="10" borderId="43" xfId="0" applyFill="1" applyBorder="1" applyAlignment="1">
      <alignment horizontal="center" wrapText="1"/>
    </xf>
    <xf numFmtId="0" fontId="4" fillId="0" borderId="18" xfId="0" applyFont="1" applyBorder="1" applyAlignment="1">
      <alignment horizontal="left" vertical="top"/>
    </xf>
    <xf numFmtId="0" fontId="4" fillId="0" borderId="0" xfId="0" applyFont="1" applyAlignment="1">
      <alignment horizontal="left" vertical="top"/>
    </xf>
    <xf numFmtId="0" fontId="4" fillId="0" borderId="19" xfId="0" applyFont="1" applyBorder="1" applyAlignment="1">
      <alignment horizontal="left" vertical="top"/>
    </xf>
    <xf numFmtId="167" fontId="0" fillId="9" borderId="39" xfId="0" applyNumberFormat="1" applyFill="1" applyBorder="1" applyAlignment="1">
      <alignment horizontal="center" wrapText="1"/>
    </xf>
    <xf numFmtId="167" fontId="0" fillId="9" borderId="23" xfId="0" applyNumberFormat="1" applyFill="1" applyBorder="1" applyAlignment="1">
      <alignment horizontal="center" wrapText="1"/>
    </xf>
    <xf numFmtId="167" fontId="0" fillId="6" borderId="29" xfId="0" applyNumberFormat="1" applyFill="1" applyBorder="1" applyAlignment="1">
      <alignment horizontal="center" wrapText="1"/>
    </xf>
    <xf numFmtId="167" fontId="0" fillId="9" borderId="40" xfId="0" applyNumberFormat="1" applyFill="1" applyBorder="1" applyAlignment="1">
      <alignment horizontal="center" wrapText="1"/>
    </xf>
    <xf numFmtId="0" fontId="0" fillId="7" borderId="17" xfId="0" applyFill="1" applyBorder="1" applyAlignment="1">
      <alignment horizontal="center"/>
    </xf>
    <xf numFmtId="167" fontId="0" fillId="8" borderId="29" xfId="0" applyNumberFormat="1" applyFill="1" applyBorder="1" applyAlignment="1">
      <alignment horizontal="center" wrapText="1"/>
    </xf>
  </cellXfs>
  <cellStyles count="4">
    <cellStyle name="Hiperlink" xfId="2" builtinId="8"/>
    <cellStyle name="Normal" xfId="0" builtinId="0"/>
    <cellStyle name="Normal 2" xfId="1" xr:uid="{B31F8449-2DC2-4A72-A7AC-00D29E3E8572}"/>
    <cellStyle name="Vírgula" xfId="3" builtinId="3"/>
  </cellStyles>
  <dxfs count="129">
    <dxf>
      <font>
        <b/>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6"/>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dxf>
    <dxf>
      <font>
        <b/>
        <i val="0"/>
        <strike val="0"/>
        <condense val="0"/>
        <extend val="0"/>
        <outline val="0"/>
        <shadow val="0"/>
        <u val="none"/>
        <vertAlign val="baseline"/>
        <sz val="16"/>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dxf>
    <dxf>
      <font>
        <color rgb="FF9C0006"/>
      </font>
      <fill>
        <patternFill>
          <bgColor rgb="FFFFC7CE"/>
        </patternFill>
      </fill>
    </dxf>
    <dxf>
      <font>
        <color rgb="FF006100"/>
      </font>
      <fill>
        <patternFill>
          <bgColor theme="9" tint="0.59996337778862885"/>
        </patternFill>
      </fill>
    </dxf>
    <dxf>
      <font>
        <color rgb="FF006100"/>
      </font>
      <fill>
        <patternFill>
          <bgColor rgb="FFC6EFCE"/>
        </patternFill>
      </fill>
    </dxf>
    <dxf>
      <fill>
        <patternFill>
          <bgColor theme="8" tint="0.59996337778862885"/>
        </patternFill>
      </fill>
    </dxf>
    <dxf>
      <fill>
        <patternFill>
          <bgColor rgb="FF7030A0"/>
        </patternFill>
      </fill>
    </dxf>
    <dxf>
      <fill>
        <patternFill>
          <bgColor rgb="FF9C5BCD"/>
        </patternFill>
      </fill>
    </dxf>
    <dxf>
      <fill>
        <patternFill>
          <bgColor theme="7"/>
        </patternFill>
      </fill>
    </dxf>
    <dxf>
      <fill>
        <patternFill>
          <bgColor rgb="FF00B0F0"/>
        </patternFill>
      </fill>
    </dxf>
    <dxf>
      <fill>
        <patternFill>
          <bgColor rgb="FFC49500"/>
        </patternFill>
      </fill>
    </dxf>
    <dxf>
      <fill>
        <patternFill>
          <bgColor rgb="FFB381D9"/>
        </patternFill>
      </fill>
    </dxf>
    <dxf>
      <fill>
        <patternFill>
          <bgColor rgb="FFFFFF99"/>
        </patternFill>
      </fill>
    </dxf>
    <dxf>
      <fill>
        <patternFill>
          <bgColor theme="9" tint="0.59996337778862885"/>
        </patternFill>
      </fill>
    </dxf>
    <dxf>
      <fill>
        <patternFill>
          <bgColor rgb="FFFF5050"/>
        </patternFill>
      </fill>
    </dxf>
    <dxf>
      <fill>
        <patternFill>
          <bgColor theme="6" tint="0.59996337778862885"/>
        </patternFill>
      </fill>
    </dxf>
    <dxf>
      <fill>
        <patternFill>
          <bgColor rgb="FFFF5050"/>
        </patternFill>
      </fill>
    </dxf>
    <dxf>
      <fill>
        <patternFill>
          <bgColor rgb="FFB381D9"/>
        </patternFill>
      </fill>
    </dxf>
    <dxf>
      <fill>
        <patternFill>
          <bgColor rgb="FFFFFF99"/>
        </patternFill>
      </fill>
    </dxf>
    <dxf>
      <fill>
        <patternFill>
          <bgColor theme="9" tint="0.59996337778862885"/>
        </patternFill>
      </fill>
    </dxf>
    <dxf>
      <fill>
        <patternFill>
          <bgColor theme="6" tint="0.59996337778862885"/>
        </patternFill>
      </fill>
    </dxf>
    <dxf>
      <fill>
        <patternFill>
          <bgColor rgb="FF00B0F0"/>
        </patternFill>
      </fill>
    </dxf>
    <dxf>
      <fill>
        <patternFill>
          <bgColor rgb="FFC49500"/>
        </patternFill>
      </fill>
    </dxf>
    <dxf>
      <fill>
        <patternFill>
          <bgColor rgb="FFFF5050"/>
        </patternFill>
      </fill>
    </dxf>
    <dxf>
      <fill>
        <patternFill>
          <bgColor theme="9" tint="0.59996337778862885"/>
        </patternFill>
      </fill>
    </dxf>
    <dxf>
      <fill>
        <patternFill>
          <bgColor rgb="FFFFFF99"/>
        </patternFill>
      </fill>
    </dxf>
    <dxf>
      <fill>
        <patternFill>
          <bgColor rgb="FFC49500"/>
        </patternFill>
      </fill>
    </dxf>
    <dxf>
      <fill>
        <patternFill>
          <bgColor theme="6" tint="0.59996337778862885"/>
        </patternFill>
      </fill>
    </dxf>
    <dxf>
      <fill>
        <patternFill>
          <bgColor rgb="FF00B0F0"/>
        </patternFill>
      </fill>
    </dxf>
    <dxf>
      <fill>
        <patternFill>
          <bgColor rgb="FFB381D9"/>
        </patternFill>
      </fill>
    </dxf>
    <dxf>
      <fill>
        <patternFill>
          <bgColor rgb="FFB381D9"/>
        </patternFill>
      </fill>
    </dxf>
    <dxf>
      <fill>
        <patternFill>
          <bgColor rgb="FFC49500"/>
        </patternFill>
      </fill>
    </dxf>
    <dxf>
      <fill>
        <patternFill>
          <bgColor theme="6" tint="0.59996337778862885"/>
        </patternFill>
      </fill>
    </dxf>
    <dxf>
      <fill>
        <patternFill>
          <bgColor rgb="FFFF5050"/>
        </patternFill>
      </fill>
    </dxf>
    <dxf>
      <fill>
        <patternFill>
          <bgColor theme="9" tint="0.59996337778862885"/>
        </patternFill>
      </fill>
    </dxf>
    <dxf>
      <fill>
        <patternFill>
          <bgColor rgb="FFFFFF99"/>
        </patternFill>
      </fill>
    </dxf>
    <dxf>
      <fill>
        <patternFill>
          <bgColor rgb="FF00B0F0"/>
        </patternFill>
      </fill>
    </dxf>
    <dxf>
      <fill>
        <patternFill>
          <bgColor rgb="FFFF5050"/>
        </patternFill>
      </fill>
    </dxf>
    <dxf>
      <fill>
        <patternFill>
          <bgColor theme="6" tint="0.59996337778862885"/>
        </patternFill>
      </fill>
    </dxf>
    <dxf>
      <fill>
        <patternFill>
          <bgColor rgb="FFC49500"/>
        </patternFill>
      </fill>
    </dxf>
    <dxf>
      <fill>
        <patternFill>
          <bgColor rgb="FFB381D9"/>
        </patternFill>
      </fill>
    </dxf>
    <dxf>
      <fill>
        <patternFill>
          <bgColor theme="9" tint="0.59996337778862885"/>
        </patternFill>
      </fill>
    </dxf>
    <dxf>
      <fill>
        <patternFill>
          <bgColor rgb="FFFFFF99"/>
        </patternFill>
      </fill>
    </dxf>
    <dxf>
      <fill>
        <patternFill>
          <bgColor rgb="FF00B0F0"/>
        </patternFill>
      </fill>
    </dxf>
    <dxf>
      <fill>
        <patternFill>
          <bgColor rgb="FFB381D9"/>
        </patternFill>
      </fill>
    </dxf>
    <dxf>
      <fill>
        <patternFill>
          <bgColor rgb="FFC49500"/>
        </patternFill>
      </fill>
    </dxf>
    <dxf>
      <fill>
        <patternFill>
          <bgColor rgb="FF00B0F0"/>
        </patternFill>
      </fill>
    </dxf>
    <dxf>
      <fill>
        <patternFill>
          <bgColor theme="6" tint="0.59996337778862885"/>
        </patternFill>
      </fill>
    </dxf>
    <dxf>
      <fill>
        <patternFill>
          <bgColor rgb="FFFF5050"/>
        </patternFill>
      </fill>
    </dxf>
    <dxf>
      <fill>
        <patternFill>
          <bgColor theme="9" tint="0.59996337778862885"/>
        </patternFill>
      </fill>
    </dxf>
    <dxf>
      <fill>
        <patternFill>
          <bgColor rgb="FFFFFF99"/>
        </patternFill>
      </fill>
    </dxf>
    <dxf>
      <fill>
        <patternFill>
          <bgColor rgb="FFFFFF99"/>
        </patternFill>
      </fill>
    </dxf>
    <dxf>
      <fill>
        <patternFill>
          <bgColor theme="6" tint="0.59996337778862885"/>
        </patternFill>
      </fill>
    </dxf>
    <dxf>
      <fill>
        <patternFill>
          <bgColor rgb="FF00B0F0"/>
        </patternFill>
      </fill>
    </dxf>
    <dxf>
      <fill>
        <patternFill>
          <bgColor rgb="FFC49500"/>
        </patternFill>
      </fill>
    </dxf>
    <dxf>
      <fill>
        <patternFill>
          <bgColor rgb="FFB381D9"/>
        </patternFill>
      </fill>
    </dxf>
    <dxf>
      <fill>
        <patternFill>
          <bgColor rgb="FFFF5050"/>
        </patternFill>
      </fill>
    </dxf>
    <dxf>
      <fill>
        <patternFill>
          <bgColor theme="9" tint="0.59996337778862885"/>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FFFF99"/>
        </patternFill>
      </fill>
    </dxf>
    <dxf>
      <fill>
        <patternFill>
          <bgColor rgb="FFFFFF99"/>
        </patternFill>
      </fill>
    </dxf>
    <dxf>
      <fill>
        <patternFill>
          <bgColor theme="9" tint="0.59996337778862885"/>
        </patternFill>
      </fill>
    </dxf>
    <dxf>
      <fill>
        <patternFill>
          <bgColor rgb="FF00B0F0"/>
        </patternFill>
      </fill>
    </dxf>
    <dxf>
      <fill>
        <patternFill>
          <bgColor theme="6" tint="0.59996337778862885"/>
        </patternFill>
      </fill>
    </dxf>
    <dxf>
      <fill>
        <patternFill>
          <bgColor rgb="FFFF5050"/>
        </patternFill>
      </fill>
    </dxf>
    <dxf>
      <fill>
        <patternFill>
          <bgColor rgb="FFC49500"/>
        </patternFill>
      </fill>
    </dxf>
    <dxf>
      <fill>
        <patternFill>
          <bgColor rgb="FFB381D9"/>
        </patternFill>
      </fill>
    </dxf>
    <dxf>
      <fill>
        <patternFill>
          <bgColor theme="6" tint="0.59996337778862885"/>
        </patternFill>
      </fill>
    </dxf>
    <dxf>
      <fill>
        <patternFill>
          <bgColor rgb="FFFF5050"/>
        </patternFill>
      </fill>
    </dxf>
    <dxf>
      <fill>
        <patternFill>
          <bgColor theme="9" tint="0.59996337778862885"/>
        </patternFill>
      </fill>
    </dxf>
    <dxf>
      <fill>
        <patternFill>
          <bgColor rgb="FFFFFF99"/>
        </patternFill>
      </fill>
    </dxf>
    <dxf>
      <fill>
        <patternFill>
          <bgColor rgb="FF00B0F0"/>
        </patternFill>
      </fill>
    </dxf>
    <dxf>
      <fill>
        <patternFill>
          <bgColor rgb="FFC49500"/>
        </patternFill>
      </fill>
    </dxf>
    <dxf>
      <fill>
        <patternFill>
          <bgColor rgb="FFFFFF99"/>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B381D9"/>
        </patternFill>
      </fill>
    </dxf>
    <dxf>
      <fill>
        <patternFill>
          <bgColor rgb="FFB381D9"/>
        </patternFill>
      </fill>
    </dxf>
    <dxf>
      <fill>
        <patternFill>
          <bgColor rgb="FFFFFF99"/>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C49500"/>
        </patternFill>
      </fill>
    </dxf>
    <dxf>
      <fill>
        <patternFill>
          <bgColor rgb="FFC49500"/>
        </patternFill>
      </fill>
    </dxf>
    <dxf>
      <fill>
        <patternFill>
          <bgColor rgb="FFB381D9"/>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FFFF99"/>
        </patternFill>
      </fill>
    </dxf>
    <dxf>
      <fill>
        <patternFill>
          <bgColor rgb="FFB381D9"/>
        </patternFill>
      </fill>
    </dxf>
    <dxf>
      <fill>
        <patternFill>
          <bgColor rgb="FFC49500"/>
        </patternFill>
      </fill>
    </dxf>
    <dxf>
      <fill>
        <patternFill>
          <bgColor rgb="FFFFFF99"/>
        </patternFill>
      </fill>
    </dxf>
    <dxf>
      <fill>
        <patternFill>
          <bgColor theme="9" tint="0.59996337778862885"/>
        </patternFill>
      </fill>
    </dxf>
    <dxf>
      <fill>
        <patternFill>
          <bgColor rgb="FFFF5050"/>
        </patternFill>
      </fill>
    </dxf>
    <dxf>
      <fill>
        <patternFill>
          <bgColor rgb="FF00B0F0"/>
        </patternFill>
      </fill>
    </dxf>
    <dxf>
      <fill>
        <patternFill>
          <bgColor theme="6" tint="0.59996337778862885"/>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C49500"/>
        </patternFill>
      </fill>
    </dxf>
    <dxf>
      <fill>
        <patternFill>
          <bgColor rgb="FFB381D9"/>
        </patternFill>
      </fill>
    </dxf>
    <dxf>
      <fill>
        <patternFill>
          <bgColor rgb="FFFFFF99"/>
        </patternFill>
      </fill>
    </dxf>
    <dxf>
      <fill>
        <patternFill>
          <bgColor rgb="FFB381D9"/>
        </patternFill>
      </fill>
    </dxf>
    <dxf>
      <fill>
        <patternFill>
          <bgColor rgb="FFC49500"/>
        </patternFill>
      </fill>
    </dxf>
    <dxf>
      <fill>
        <patternFill>
          <bgColor rgb="FF00B0F0"/>
        </patternFill>
      </fill>
    </dxf>
    <dxf>
      <fill>
        <patternFill>
          <bgColor rgb="FFFFFF99"/>
        </patternFill>
      </fill>
    </dxf>
    <dxf>
      <fill>
        <patternFill>
          <bgColor theme="9" tint="0.59996337778862885"/>
        </patternFill>
      </fill>
    </dxf>
    <dxf>
      <fill>
        <patternFill>
          <bgColor rgb="FFFF5050"/>
        </patternFill>
      </fill>
    </dxf>
    <dxf>
      <fill>
        <patternFill>
          <bgColor theme="6" tint="0.59996337778862885"/>
        </patternFill>
      </fill>
    </dxf>
    <dxf>
      <fill>
        <patternFill>
          <bgColor rgb="FFB381D9"/>
        </patternFill>
      </fill>
    </dxf>
    <dxf>
      <fill>
        <patternFill>
          <bgColor rgb="FFC49500"/>
        </patternFill>
      </fill>
    </dxf>
    <dxf>
      <fill>
        <patternFill>
          <bgColor rgb="FFB381D9"/>
        </patternFill>
      </fill>
    </dxf>
    <dxf>
      <fill>
        <patternFill>
          <bgColor rgb="FFC49500"/>
        </patternFill>
      </fill>
    </dxf>
    <dxf>
      <fill>
        <patternFill>
          <bgColor rgb="FFB381D9"/>
        </patternFill>
      </fill>
    </dxf>
    <dxf>
      <fill>
        <patternFill>
          <bgColor theme="9" tint="0.59996337778862885"/>
        </patternFill>
      </fill>
    </dxf>
    <dxf>
      <fill>
        <patternFill>
          <bgColor rgb="FFFF5050"/>
        </patternFill>
      </fill>
    </dxf>
    <dxf>
      <fill>
        <patternFill>
          <bgColor theme="6" tint="0.59996337778862885"/>
        </patternFill>
      </fill>
    </dxf>
    <dxf>
      <fill>
        <patternFill>
          <bgColor rgb="FF00B0F0"/>
        </patternFill>
      </fill>
    </dxf>
    <dxf>
      <fill>
        <patternFill>
          <bgColor rgb="FFC49500"/>
        </patternFill>
      </fill>
    </dxf>
    <dxf>
      <fill>
        <patternFill>
          <bgColor rgb="FFFFFF99"/>
        </patternFill>
      </fill>
    </dxf>
  </dxfs>
  <tableStyles count="0" defaultTableStyle="TableStyleMedium2" defaultPivotStyle="PivotStyleLight16"/>
  <colors>
    <mruColors>
      <color rgb="FFDFDFDF"/>
      <color rgb="FFDEDEDE"/>
      <color rgb="FFD9D9D9"/>
      <color rgb="FFE0E0E0"/>
      <color rgb="FFDDDDDD"/>
      <color rgb="FFBAECFC"/>
      <color rgb="FFDBDBDB"/>
      <color rgb="FF1C2C12"/>
      <color rgb="FF9C5BCD"/>
      <color rgb="FFA3E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5</xdr:col>
      <xdr:colOff>15240</xdr:colOff>
      <xdr:row>1</xdr:row>
      <xdr:rowOff>0</xdr:rowOff>
    </xdr:to>
    <xdr:pic>
      <xdr:nvPicPr>
        <xdr:cNvPr id="2" name="formCadastrarProtocolo:j_idt97">
          <a:extLst>
            <a:ext uri="{FF2B5EF4-FFF2-40B4-BE49-F238E27FC236}">
              <a16:creationId xmlns:a16="http://schemas.microsoft.com/office/drawing/2014/main" id="{83AC7F47-AD24-B8EC-3E2A-1C6CAC16A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483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1</xdr:row>
      <xdr:rowOff>0</xdr:rowOff>
    </xdr:from>
    <xdr:ext cx="9525" cy="9525"/>
    <xdr:pic>
      <xdr:nvPicPr>
        <xdr:cNvPr id="3" name="formCadastrarProtocolo:j_idt97">
          <a:extLst>
            <a:ext uri="{FF2B5EF4-FFF2-40B4-BE49-F238E27FC236}">
              <a16:creationId xmlns:a16="http://schemas.microsoft.com/office/drawing/2014/main" id="{B70A8ACE-DA36-4600-8702-78BDCCF21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82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1</xdr:row>
      <xdr:rowOff>0</xdr:rowOff>
    </xdr:from>
    <xdr:to>
      <xdr:col>5</xdr:col>
      <xdr:colOff>15240</xdr:colOff>
      <xdr:row>1</xdr:row>
      <xdr:rowOff>0</xdr:rowOff>
    </xdr:to>
    <xdr:pic>
      <xdr:nvPicPr>
        <xdr:cNvPr id="4" name="formFirma:j_idt92">
          <a:extLst>
            <a:ext uri="{FF2B5EF4-FFF2-40B4-BE49-F238E27FC236}">
              <a16:creationId xmlns:a16="http://schemas.microsoft.com/office/drawing/2014/main" id="{345BC58C-614E-8EAF-B87B-19EEFB340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8225" y="134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5" name="formCadastrarProtocolo:j_idt93">
          <a:extLst>
            <a:ext uri="{FF2B5EF4-FFF2-40B4-BE49-F238E27FC236}">
              <a16:creationId xmlns:a16="http://schemas.microsoft.com/office/drawing/2014/main" id="{32C53CB2-C320-14C3-F5A1-8D62950451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486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6" name="formFirma:j_idt92">
          <a:extLst>
            <a:ext uri="{FF2B5EF4-FFF2-40B4-BE49-F238E27FC236}">
              <a16:creationId xmlns:a16="http://schemas.microsoft.com/office/drawing/2014/main" id="{2844B9D5-E858-057F-5EEB-2AA9C1576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676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7" name="formFirma:j_idt92">
          <a:extLst>
            <a:ext uri="{FF2B5EF4-FFF2-40B4-BE49-F238E27FC236}">
              <a16:creationId xmlns:a16="http://schemas.microsoft.com/office/drawing/2014/main" id="{C9A8DF38-79AE-4E7C-6639-CAD8966792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6105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8" name="formCadastrarProtocolo:j_idt93">
          <a:extLst>
            <a:ext uri="{FF2B5EF4-FFF2-40B4-BE49-F238E27FC236}">
              <a16:creationId xmlns:a16="http://schemas.microsoft.com/office/drawing/2014/main" id="{06708B86-FE04-A6D5-106E-5AC337E2B3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6867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9" name="formCadastrarProtocolo:j_idt93">
          <a:extLst>
            <a:ext uri="{FF2B5EF4-FFF2-40B4-BE49-F238E27FC236}">
              <a16:creationId xmlns:a16="http://schemas.microsoft.com/office/drawing/2014/main" id="{5AF5F070-1B21-BFA4-CC63-9A379FC5AD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705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24765</xdr:colOff>
      <xdr:row>1</xdr:row>
      <xdr:rowOff>0</xdr:rowOff>
    </xdr:to>
    <xdr:pic>
      <xdr:nvPicPr>
        <xdr:cNvPr id="10" name="formCadastrarProtocolo:j_idt95">
          <a:extLst>
            <a:ext uri="{FF2B5EF4-FFF2-40B4-BE49-F238E27FC236}">
              <a16:creationId xmlns:a16="http://schemas.microsoft.com/office/drawing/2014/main" id="{D2CA397A-1809-A2B6-AF87-2F11092990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705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xdr:row>
      <xdr:rowOff>0</xdr:rowOff>
    </xdr:from>
    <xdr:to>
      <xdr:col>5</xdr:col>
      <xdr:colOff>53340</xdr:colOff>
      <xdr:row>1</xdr:row>
      <xdr:rowOff>0</xdr:rowOff>
    </xdr:to>
    <xdr:pic>
      <xdr:nvPicPr>
        <xdr:cNvPr id="11" name="formCadastrarProtocolo:j_idt97">
          <a:extLst>
            <a:ext uri="{FF2B5EF4-FFF2-40B4-BE49-F238E27FC236}">
              <a16:creationId xmlns:a16="http://schemas.microsoft.com/office/drawing/2014/main" id="{3FCF7C99-5CB4-5F30-88E5-B91D411A59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705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12" name="formCadastrarProtocolo:j_idt93">
          <a:extLst>
            <a:ext uri="{FF2B5EF4-FFF2-40B4-BE49-F238E27FC236}">
              <a16:creationId xmlns:a16="http://schemas.microsoft.com/office/drawing/2014/main" id="{12E1D41D-5FC7-E95C-EC47-626F330D67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7629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13" name="formCadastrarProtocolo:j_idt93">
          <a:extLst>
            <a:ext uri="{FF2B5EF4-FFF2-40B4-BE49-F238E27FC236}">
              <a16:creationId xmlns:a16="http://schemas.microsoft.com/office/drawing/2014/main" id="{40E2C908-79D4-367E-734E-42F344B70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839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24765</xdr:colOff>
      <xdr:row>1</xdr:row>
      <xdr:rowOff>0</xdr:rowOff>
    </xdr:to>
    <xdr:pic>
      <xdr:nvPicPr>
        <xdr:cNvPr id="14" name="formCadastrarProtocolo:j_idt95">
          <a:extLst>
            <a:ext uri="{FF2B5EF4-FFF2-40B4-BE49-F238E27FC236}">
              <a16:creationId xmlns:a16="http://schemas.microsoft.com/office/drawing/2014/main" id="{9D137704-29B2-F2E2-AB60-CFE9A787D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839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xdr:row>
      <xdr:rowOff>0</xdr:rowOff>
    </xdr:from>
    <xdr:to>
      <xdr:col>5</xdr:col>
      <xdr:colOff>53340</xdr:colOff>
      <xdr:row>1</xdr:row>
      <xdr:rowOff>0</xdr:rowOff>
    </xdr:to>
    <xdr:pic>
      <xdr:nvPicPr>
        <xdr:cNvPr id="15" name="formCadastrarProtocolo:j_idt97">
          <a:extLst>
            <a:ext uri="{FF2B5EF4-FFF2-40B4-BE49-F238E27FC236}">
              <a16:creationId xmlns:a16="http://schemas.microsoft.com/office/drawing/2014/main" id="{227FAE0D-8223-A39D-EA69-78572AC11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839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1</xdr:row>
      <xdr:rowOff>0</xdr:rowOff>
    </xdr:from>
    <xdr:to>
      <xdr:col>5</xdr:col>
      <xdr:colOff>62865</xdr:colOff>
      <xdr:row>1</xdr:row>
      <xdr:rowOff>0</xdr:rowOff>
    </xdr:to>
    <xdr:pic>
      <xdr:nvPicPr>
        <xdr:cNvPr id="16" name="formCadastrarProtocolo:j_idt99">
          <a:extLst>
            <a:ext uri="{FF2B5EF4-FFF2-40B4-BE49-F238E27FC236}">
              <a16:creationId xmlns:a16="http://schemas.microsoft.com/office/drawing/2014/main" id="{35B4B782-04A5-7907-35DD-696AC59B49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839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17" name="formCadastrarProtocolo:j_idt93">
          <a:extLst>
            <a:ext uri="{FF2B5EF4-FFF2-40B4-BE49-F238E27FC236}">
              <a16:creationId xmlns:a16="http://schemas.microsoft.com/office/drawing/2014/main" id="{519CA4B7-F318-E1DF-1C68-3C2B7104B2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858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24765</xdr:colOff>
      <xdr:row>1</xdr:row>
      <xdr:rowOff>0</xdr:rowOff>
    </xdr:to>
    <xdr:pic>
      <xdr:nvPicPr>
        <xdr:cNvPr id="18" name="formCadastrarProtocolo:j_idt95">
          <a:extLst>
            <a:ext uri="{FF2B5EF4-FFF2-40B4-BE49-F238E27FC236}">
              <a16:creationId xmlns:a16="http://schemas.microsoft.com/office/drawing/2014/main" id="{F2476893-204F-4E0E-F40C-E67761E4B3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858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xdr:row>
      <xdr:rowOff>0</xdr:rowOff>
    </xdr:from>
    <xdr:to>
      <xdr:col>5</xdr:col>
      <xdr:colOff>53340</xdr:colOff>
      <xdr:row>1</xdr:row>
      <xdr:rowOff>0</xdr:rowOff>
    </xdr:to>
    <xdr:pic>
      <xdr:nvPicPr>
        <xdr:cNvPr id="19" name="formCadastrarProtocolo:j_idt97">
          <a:extLst>
            <a:ext uri="{FF2B5EF4-FFF2-40B4-BE49-F238E27FC236}">
              <a16:creationId xmlns:a16="http://schemas.microsoft.com/office/drawing/2014/main" id="{F5436BB0-376D-52AC-ABC9-5DC6B2FF69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858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1</xdr:row>
      <xdr:rowOff>0</xdr:rowOff>
    </xdr:from>
    <xdr:to>
      <xdr:col>5</xdr:col>
      <xdr:colOff>62865</xdr:colOff>
      <xdr:row>1</xdr:row>
      <xdr:rowOff>0</xdr:rowOff>
    </xdr:to>
    <xdr:pic>
      <xdr:nvPicPr>
        <xdr:cNvPr id="20" name="formCadastrarProtocolo:j_idt99">
          <a:extLst>
            <a:ext uri="{FF2B5EF4-FFF2-40B4-BE49-F238E27FC236}">
              <a16:creationId xmlns:a16="http://schemas.microsoft.com/office/drawing/2014/main" id="{9332669A-757C-E433-4920-D23EBDBEB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858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21" name="formFirma:j_idt92">
          <a:extLst>
            <a:ext uri="{FF2B5EF4-FFF2-40B4-BE49-F238E27FC236}">
              <a16:creationId xmlns:a16="http://schemas.microsoft.com/office/drawing/2014/main" id="{01E6BE3D-38EB-41BE-168F-65648FEDA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877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22" name="formFirma:j_idt92">
          <a:extLst>
            <a:ext uri="{FF2B5EF4-FFF2-40B4-BE49-F238E27FC236}">
              <a16:creationId xmlns:a16="http://schemas.microsoft.com/office/drawing/2014/main" id="{8D170D04-2BA2-EE22-8AEC-2A4D3790E5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896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23" name="formFirma:j_idt92">
          <a:extLst>
            <a:ext uri="{FF2B5EF4-FFF2-40B4-BE49-F238E27FC236}">
              <a16:creationId xmlns:a16="http://schemas.microsoft.com/office/drawing/2014/main" id="{BFE4B388-FFB8-264D-B4F2-887B71250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9915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24" name="formFirma:j_idt92">
          <a:extLst>
            <a:ext uri="{FF2B5EF4-FFF2-40B4-BE49-F238E27FC236}">
              <a16:creationId xmlns:a16="http://schemas.microsoft.com/office/drawing/2014/main" id="{57612A95-8A83-0CD1-9B0C-EC357D1D4C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0296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25" name="formCadastrarProtocolo:j_idt93">
          <a:extLst>
            <a:ext uri="{FF2B5EF4-FFF2-40B4-BE49-F238E27FC236}">
              <a16:creationId xmlns:a16="http://schemas.microsoft.com/office/drawing/2014/main" id="{9821C1AB-3070-1954-D40D-0B2C6A355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0677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24765</xdr:colOff>
      <xdr:row>1</xdr:row>
      <xdr:rowOff>0</xdr:rowOff>
    </xdr:to>
    <xdr:pic>
      <xdr:nvPicPr>
        <xdr:cNvPr id="26" name="formCadastrarProtocolo:j_idt95">
          <a:extLst>
            <a:ext uri="{FF2B5EF4-FFF2-40B4-BE49-F238E27FC236}">
              <a16:creationId xmlns:a16="http://schemas.microsoft.com/office/drawing/2014/main" id="{310BB035-8A22-0E89-0B39-BA58B67C49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10677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27" name="formFirma:j_idt92">
          <a:extLst>
            <a:ext uri="{FF2B5EF4-FFF2-40B4-BE49-F238E27FC236}">
              <a16:creationId xmlns:a16="http://schemas.microsoft.com/office/drawing/2014/main" id="{0E0E8B27-B557-D572-074E-A59DBA211F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086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28" name="formFirma:j_idt92">
          <a:extLst>
            <a:ext uri="{FF2B5EF4-FFF2-40B4-BE49-F238E27FC236}">
              <a16:creationId xmlns:a16="http://schemas.microsoft.com/office/drawing/2014/main" id="{34741002-3A55-4C35-E8D8-FD53F8FB1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105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29" name="formCadastrarProtocolo:j_idt93">
          <a:extLst>
            <a:ext uri="{FF2B5EF4-FFF2-40B4-BE49-F238E27FC236}">
              <a16:creationId xmlns:a16="http://schemas.microsoft.com/office/drawing/2014/main" id="{A6DF76E5-1E2B-C691-BFA0-EA62A933A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220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30" name="formFirma:j_idt92">
          <a:extLst>
            <a:ext uri="{FF2B5EF4-FFF2-40B4-BE49-F238E27FC236}">
              <a16:creationId xmlns:a16="http://schemas.microsoft.com/office/drawing/2014/main" id="{F1E61920-6D80-1AB3-EA84-BF868C377D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277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31" name="formFirma:j_idt92">
          <a:extLst>
            <a:ext uri="{FF2B5EF4-FFF2-40B4-BE49-F238E27FC236}">
              <a16:creationId xmlns:a16="http://schemas.microsoft.com/office/drawing/2014/main" id="{1D77C7A5-FC44-4295-1B33-2AA8532E7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3535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32" name="formFirma:j_idt92">
          <a:extLst>
            <a:ext uri="{FF2B5EF4-FFF2-40B4-BE49-F238E27FC236}">
              <a16:creationId xmlns:a16="http://schemas.microsoft.com/office/drawing/2014/main" id="{5EEFB1BB-ED2C-D11F-1ED2-214C9E166F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4297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33" name="formCadastrarProtocolo:j_idt93">
          <a:extLst>
            <a:ext uri="{FF2B5EF4-FFF2-40B4-BE49-F238E27FC236}">
              <a16:creationId xmlns:a16="http://schemas.microsoft.com/office/drawing/2014/main" id="{F328FFF7-90EA-16DE-9A33-92311A6AE4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486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24765</xdr:colOff>
      <xdr:row>1</xdr:row>
      <xdr:rowOff>0</xdr:rowOff>
    </xdr:to>
    <xdr:pic>
      <xdr:nvPicPr>
        <xdr:cNvPr id="34" name="formCadastrarProtocolo:j_idt95">
          <a:extLst>
            <a:ext uri="{FF2B5EF4-FFF2-40B4-BE49-F238E27FC236}">
              <a16:creationId xmlns:a16="http://schemas.microsoft.com/office/drawing/2014/main" id="{FFF41A09-1280-CA89-07C8-2277DC0BD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1486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xdr:row>
      <xdr:rowOff>0</xdr:rowOff>
    </xdr:from>
    <xdr:to>
      <xdr:col>5</xdr:col>
      <xdr:colOff>53340</xdr:colOff>
      <xdr:row>1</xdr:row>
      <xdr:rowOff>0</xdr:rowOff>
    </xdr:to>
    <xdr:pic>
      <xdr:nvPicPr>
        <xdr:cNvPr id="35" name="formCadastrarProtocolo:j_idt97">
          <a:extLst>
            <a:ext uri="{FF2B5EF4-FFF2-40B4-BE49-F238E27FC236}">
              <a16:creationId xmlns:a16="http://schemas.microsoft.com/office/drawing/2014/main" id="{4899CF74-7BB4-5FDE-49C0-1CFD1B797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1486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36" name="formCadastrarProtocolo:j_idt93">
          <a:extLst>
            <a:ext uri="{FF2B5EF4-FFF2-40B4-BE49-F238E27FC236}">
              <a16:creationId xmlns:a16="http://schemas.microsoft.com/office/drawing/2014/main" id="{8E439E76-948D-03AC-E586-8C1E12ADD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505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xdr:row>
      <xdr:rowOff>0</xdr:rowOff>
    </xdr:from>
    <xdr:to>
      <xdr:col>5</xdr:col>
      <xdr:colOff>24765</xdr:colOff>
      <xdr:row>1</xdr:row>
      <xdr:rowOff>0</xdr:rowOff>
    </xdr:to>
    <xdr:pic>
      <xdr:nvPicPr>
        <xdr:cNvPr id="37" name="formCadastrarProtocolo:j_idt95">
          <a:extLst>
            <a:ext uri="{FF2B5EF4-FFF2-40B4-BE49-F238E27FC236}">
              <a16:creationId xmlns:a16="http://schemas.microsoft.com/office/drawing/2014/main" id="{3DBC4BA0-47B2-60BD-C186-C2BD63FE79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1505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xdr:row>
      <xdr:rowOff>0</xdr:rowOff>
    </xdr:from>
    <xdr:to>
      <xdr:col>5</xdr:col>
      <xdr:colOff>53340</xdr:colOff>
      <xdr:row>1</xdr:row>
      <xdr:rowOff>0</xdr:rowOff>
    </xdr:to>
    <xdr:pic>
      <xdr:nvPicPr>
        <xdr:cNvPr id="38" name="formCadastrarProtocolo:j_idt97">
          <a:extLst>
            <a:ext uri="{FF2B5EF4-FFF2-40B4-BE49-F238E27FC236}">
              <a16:creationId xmlns:a16="http://schemas.microsoft.com/office/drawing/2014/main" id="{D57BB70B-DEAE-0E9D-2307-B6E3591743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1505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xdr:row>
      <xdr:rowOff>0</xdr:rowOff>
    </xdr:from>
    <xdr:to>
      <xdr:col>5</xdr:col>
      <xdr:colOff>15240</xdr:colOff>
      <xdr:row>1</xdr:row>
      <xdr:rowOff>0</xdr:rowOff>
    </xdr:to>
    <xdr:pic>
      <xdr:nvPicPr>
        <xdr:cNvPr id="39" name="formCadastrarProtocolo:j_idt93">
          <a:extLst>
            <a:ext uri="{FF2B5EF4-FFF2-40B4-BE49-F238E27FC236}">
              <a16:creationId xmlns:a16="http://schemas.microsoft.com/office/drawing/2014/main" id="{1A53A4D8-E7D3-A289-B3CB-1EB01E1870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15440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32</xdr:row>
      <xdr:rowOff>0</xdr:rowOff>
    </xdr:from>
    <xdr:ext cx="9525" cy="9525"/>
    <xdr:pic>
      <xdr:nvPicPr>
        <xdr:cNvPr id="40" name="formCadastrarProtocolo:j_idt97">
          <a:extLst>
            <a:ext uri="{FF2B5EF4-FFF2-40B4-BE49-F238E27FC236}">
              <a16:creationId xmlns:a16="http://schemas.microsoft.com/office/drawing/2014/main" id="{40980D8D-AF6E-4C82-A6F3-F315E3F7A2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1125" y="400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9525" cy="9525"/>
    <xdr:pic>
      <xdr:nvPicPr>
        <xdr:cNvPr id="41" name="formCadastrarProtocolo:j_idt97">
          <a:extLst>
            <a:ext uri="{FF2B5EF4-FFF2-40B4-BE49-F238E27FC236}">
              <a16:creationId xmlns:a16="http://schemas.microsoft.com/office/drawing/2014/main" id="{64263817-D15A-49C1-9E7C-2BE688BE9B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0</xdr:row>
      <xdr:rowOff>0</xdr:rowOff>
    </xdr:from>
    <xdr:to>
      <xdr:col>5</xdr:col>
      <xdr:colOff>15240</xdr:colOff>
      <xdr:row>0</xdr:row>
      <xdr:rowOff>15240</xdr:rowOff>
    </xdr:to>
    <xdr:pic>
      <xdr:nvPicPr>
        <xdr:cNvPr id="42" name="formCadastrarProtocolo:j_idt93">
          <a:extLst>
            <a:ext uri="{FF2B5EF4-FFF2-40B4-BE49-F238E27FC236}">
              <a16:creationId xmlns:a16="http://schemas.microsoft.com/office/drawing/2014/main" id="{F909B630-EC30-4718-B2F5-B55F475D2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43" name="formFirma:j_idt92">
          <a:extLst>
            <a:ext uri="{FF2B5EF4-FFF2-40B4-BE49-F238E27FC236}">
              <a16:creationId xmlns:a16="http://schemas.microsoft.com/office/drawing/2014/main" id="{5BD55F8B-9AA4-4BA1-9A9C-C32E0157A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44" name="formCadastrarProtocolo:j_idt93">
          <a:extLst>
            <a:ext uri="{FF2B5EF4-FFF2-40B4-BE49-F238E27FC236}">
              <a16:creationId xmlns:a16="http://schemas.microsoft.com/office/drawing/2014/main" id="{1A557EA6-2F88-4440-B162-5ACF3922A9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45" name="formFirma:j_idt92">
          <a:extLst>
            <a:ext uri="{FF2B5EF4-FFF2-40B4-BE49-F238E27FC236}">
              <a16:creationId xmlns:a16="http://schemas.microsoft.com/office/drawing/2014/main" id="{089E5AE5-55D5-47A6-AA0F-D8064CD9E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46" name="formCadastrarProtocolo:j_idt93">
          <a:extLst>
            <a:ext uri="{FF2B5EF4-FFF2-40B4-BE49-F238E27FC236}">
              <a16:creationId xmlns:a16="http://schemas.microsoft.com/office/drawing/2014/main" id="{C0EC1765-BB13-404E-B283-7E4269D1D2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47" name="formCadastrarProtocolo:j_idt93">
          <a:extLst>
            <a:ext uri="{FF2B5EF4-FFF2-40B4-BE49-F238E27FC236}">
              <a16:creationId xmlns:a16="http://schemas.microsoft.com/office/drawing/2014/main" id="{08D0A6EE-A59F-4030-B755-947B0473F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48" name="formCadastrarProtocolo:j_idt93">
          <a:extLst>
            <a:ext uri="{FF2B5EF4-FFF2-40B4-BE49-F238E27FC236}">
              <a16:creationId xmlns:a16="http://schemas.microsoft.com/office/drawing/2014/main" id="{E20D231D-D04E-408B-AB0D-8F386D45A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49" name="formFirma:j_idt92">
          <a:extLst>
            <a:ext uri="{FF2B5EF4-FFF2-40B4-BE49-F238E27FC236}">
              <a16:creationId xmlns:a16="http://schemas.microsoft.com/office/drawing/2014/main" id="{28EBAA53-2D7A-401C-BDB7-ABC2D59FE0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50" name="formCadastrarProtocolo:j_idt93">
          <a:extLst>
            <a:ext uri="{FF2B5EF4-FFF2-40B4-BE49-F238E27FC236}">
              <a16:creationId xmlns:a16="http://schemas.microsoft.com/office/drawing/2014/main" id="{094DA505-E5FA-45FA-851C-7E24D6CF0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24765</xdr:colOff>
      <xdr:row>0</xdr:row>
      <xdr:rowOff>15240</xdr:rowOff>
    </xdr:to>
    <xdr:pic>
      <xdr:nvPicPr>
        <xdr:cNvPr id="51" name="formCadastrarProtocolo:j_idt95">
          <a:extLst>
            <a:ext uri="{FF2B5EF4-FFF2-40B4-BE49-F238E27FC236}">
              <a16:creationId xmlns:a16="http://schemas.microsoft.com/office/drawing/2014/main" id="{27BD4921-D013-4D80-90A9-2F39E7F4F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0</xdr:rowOff>
    </xdr:from>
    <xdr:to>
      <xdr:col>5</xdr:col>
      <xdr:colOff>53340</xdr:colOff>
      <xdr:row>0</xdr:row>
      <xdr:rowOff>15240</xdr:rowOff>
    </xdr:to>
    <xdr:pic>
      <xdr:nvPicPr>
        <xdr:cNvPr id="52" name="formCadastrarProtocolo:j_idt97">
          <a:extLst>
            <a:ext uri="{FF2B5EF4-FFF2-40B4-BE49-F238E27FC236}">
              <a16:creationId xmlns:a16="http://schemas.microsoft.com/office/drawing/2014/main" id="{0BC12119-3257-4359-A186-46DA4D2AC3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0</xdr:row>
      <xdr:rowOff>0</xdr:rowOff>
    </xdr:from>
    <xdr:to>
      <xdr:col>5</xdr:col>
      <xdr:colOff>62865</xdr:colOff>
      <xdr:row>0</xdr:row>
      <xdr:rowOff>15240</xdr:rowOff>
    </xdr:to>
    <xdr:pic>
      <xdr:nvPicPr>
        <xdr:cNvPr id="53" name="formCadastrarProtocolo:j_idt99">
          <a:extLst>
            <a:ext uri="{FF2B5EF4-FFF2-40B4-BE49-F238E27FC236}">
              <a16:creationId xmlns:a16="http://schemas.microsoft.com/office/drawing/2014/main" id="{384AA07A-008A-4773-8D54-013BD30F4B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257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54" name="formCadastrarProtocolo:j_idt93">
          <a:extLst>
            <a:ext uri="{FF2B5EF4-FFF2-40B4-BE49-F238E27FC236}">
              <a16:creationId xmlns:a16="http://schemas.microsoft.com/office/drawing/2014/main" id="{F4D6664A-22E9-4871-964A-FB9EC846E5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24765</xdr:colOff>
      <xdr:row>0</xdr:row>
      <xdr:rowOff>15240</xdr:rowOff>
    </xdr:to>
    <xdr:pic>
      <xdr:nvPicPr>
        <xdr:cNvPr id="55" name="formCadastrarProtocolo:j_idt95">
          <a:extLst>
            <a:ext uri="{FF2B5EF4-FFF2-40B4-BE49-F238E27FC236}">
              <a16:creationId xmlns:a16="http://schemas.microsoft.com/office/drawing/2014/main" id="{33E20513-2A97-4800-B546-793F245D3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0</xdr:rowOff>
    </xdr:from>
    <xdr:to>
      <xdr:col>5</xdr:col>
      <xdr:colOff>53340</xdr:colOff>
      <xdr:row>0</xdr:row>
      <xdr:rowOff>15240</xdr:rowOff>
    </xdr:to>
    <xdr:pic>
      <xdr:nvPicPr>
        <xdr:cNvPr id="56" name="formCadastrarProtocolo:j_idt97">
          <a:extLst>
            <a:ext uri="{FF2B5EF4-FFF2-40B4-BE49-F238E27FC236}">
              <a16:creationId xmlns:a16="http://schemas.microsoft.com/office/drawing/2014/main" id="{F4CC0870-41AB-4179-BF69-92CE3A8953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57" name="formCadastrarProtocolo:j_idt93">
          <a:extLst>
            <a:ext uri="{FF2B5EF4-FFF2-40B4-BE49-F238E27FC236}">
              <a16:creationId xmlns:a16="http://schemas.microsoft.com/office/drawing/2014/main" id="{6513293D-5AAC-4EF8-9819-4A8D14FD7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24765</xdr:colOff>
      <xdr:row>0</xdr:row>
      <xdr:rowOff>15240</xdr:rowOff>
    </xdr:to>
    <xdr:pic>
      <xdr:nvPicPr>
        <xdr:cNvPr id="58" name="formCadastrarProtocolo:j_idt95">
          <a:extLst>
            <a:ext uri="{FF2B5EF4-FFF2-40B4-BE49-F238E27FC236}">
              <a16:creationId xmlns:a16="http://schemas.microsoft.com/office/drawing/2014/main" id="{111FC8F8-DA21-4262-BB94-31BBBF0E56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0</xdr:rowOff>
    </xdr:from>
    <xdr:to>
      <xdr:col>5</xdr:col>
      <xdr:colOff>53340</xdr:colOff>
      <xdr:row>0</xdr:row>
      <xdr:rowOff>15240</xdr:rowOff>
    </xdr:to>
    <xdr:pic>
      <xdr:nvPicPr>
        <xdr:cNvPr id="59" name="formCadastrarProtocolo:j_idt97">
          <a:extLst>
            <a:ext uri="{FF2B5EF4-FFF2-40B4-BE49-F238E27FC236}">
              <a16:creationId xmlns:a16="http://schemas.microsoft.com/office/drawing/2014/main" id="{683631F1-7C14-41F6-9A61-195E51D29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390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60" name="formCadastrarProtocolo:j_idt93">
          <a:extLst>
            <a:ext uri="{FF2B5EF4-FFF2-40B4-BE49-F238E27FC236}">
              <a16:creationId xmlns:a16="http://schemas.microsoft.com/office/drawing/2014/main" id="{B6F47BED-3DDF-4425-80D1-9FB006D687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581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24765</xdr:colOff>
      <xdr:row>0</xdr:row>
      <xdr:rowOff>15240</xdr:rowOff>
    </xdr:to>
    <xdr:pic>
      <xdr:nvPicPr>
        <xdr:cNvPr id="61" name="formCadastrarProtocolo:j_idt95">
          <a:extLst>
            <a:ext uri="{FF2B5EF4-FFF2-40B4-BE49-F238E27FC236}">
              <a16:creationId xmlns:a16="http://schemas.microsoft.com/office/drawing/2014/main" id="{8AF58A07-BA83-4257-AAD6-0CE6D7EC5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581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0</xdr:rowOff>
    </xdr:from>
    <xdr:to>
      <xdr:col>5</xdr:col>
      <xdr:colOff>53340</xdr:colOff>
      <xdr:row>0</xdr:row>
      <xdr:rowOff>15240</xdr:rowOff>
    </xdr:to>
    <xdr:pic>
      <xdr:nvPicPr>
        <xdr:cNvPr id="62" name="formCadastrarProtocolo:j_idt97">
          <a:extLst>
            <a:ext uri="{FF2B5EF4-FFF2-40B4-BE49-F238E27FC236}">
              <a16:creationId xmlns:a16="http://schemas.microsoft.com/office/drawing/2014/main" id="{563FDFFA-7AB6-44D5-A7F4-900B0A19F9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581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171450</xdr:colOff>
      <xdr:row>0</xdr:row>
      <xdr:rowOff>76200</xdr:rowOff>
    </xdr:from>
    <xdr:to>
      <xdr:col>4</xdr:col>
      <xdr:colOff>177165</xdr:colOff>
      <xdr:row>0</xdr:row>
      <xdr:rowOff>91440</xdr:rowOff>
    </xdr:to>
    <xdr:pic>
      <xdr:nvPicPr>
        <xdr:cNvPr id="63" name="formCadastrarProtocolo:j_idt99">
          <a:extLst>
            <a:ext uri="{FF2B5EF4-FFF2-40B4-BE49-F238E27FC236}">
              <a16:creationId xmlns:a16="http://schemas.microsoft.com/office/drawing/2014/main" id="{18376324-A26F-482B-A3AE-5590FA95F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0150" y="581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64" name="formCadastrarProtocolo:j_idt93">
          <a:extLst>
            <a:ext uri="{FF2B5EF4-FFF2-40B4-BE49-F238E27FC236}">
              <a16:creationId xmlns:a16="http://schemas.microsoft.com/office/drawing/2014/main" id="{46D7D11F-3A86-42C4-9573-063F0B580C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581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65" name="formCadastrarProtocolo:j_idt97">
          <a:extLst>
            <a:ext uri="{FF2B5EF4-FFF2-40B4-BE49-F238E27FC236}">
              <a16:creationId xmlns:a16="http://schemas.microsoft.com/office/drawing/2014/main" id="{CD88893B-9FF4-41E9-822B-26610307FE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24765</xdr:colOff>
      <xdr:row>0</xdr:row>
      <xdr:rowOff>15240</xdr:rowOff>
    </xdr:to>
    <xdr:pic>
      <xdr:nvPicPr>
        <xdr:cNvPr id="66" name="formCadastrarProtocolo:j_idt99">
          <a:extLst>
            <a:ext uri="{FF2B5EF4-FFF2-40B4-BE49-F238E27FC236}">
              <a16:creationId xmlns:a16="http://schemas.microsoft.com/office/drawing/2014/main" id="{DFB077A6-45C2-4DE6-B09E-B192165DD0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67" name="formCadastrarProtocolo:j_idt97">
          <a:extLst>
            <a:ext uri="{FF2B5EF4-FFF2-40B4-BE49-F238E27FC236}">
              <a16:creationId xmlns:a16="http://schemas.microsoft.com/office/drawing/2014/main" id="{E32CB5AE-728D-4F59-A1A5-743114439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24765</xdr:colOff>
      <xdr:row>0</xdr:row>
      <xdr:rowOff>15240</xdr:rowOff>
    </xdr:to>
    <xdr:pic>
      <xdr:nvPicPr>
        <xdr:cNvPr id="68" name="formCadastrarProtocolo:j_idt99">
          <a:extLst>
            <a:ext uri="{FF2B5EF4-FFF2-40B4-BE49-F238E27FC236}">
              <a16:creationId xmlns:a16="http://schemas.microsoft.com/office/drawing/2014/main" id="{C7FA591A-0B95-43FE-9270-0D85892FF8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69" name="formCadastrarProtocolo:j_idt93">
          <a:extLst>
            <a:ext uri="{FF2B5EF4-FFF2-40B4-BE49-F238E27FC236}">
              <a16:creationId xmlns:a16="http://schemas.microsoft.com/office/drawing/2014/main" id="{16566094-F827-43A2-84C9-ECDDE0F0F3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0</xdr:row>
      <xdr:rowOff>0</xdr:rowOff>
    </xdr:from>
    <xdr:to>
      <xdr:col>5</xdr:col>
      <xdr:colOff>24765</xdr:colOff>
      <xdr:row>0</xdr:row>
      <xdr:rowOff>15240</xdr:rowOff>
    </xdr:to>
    <xdr:pic>
      <xdr:nvPicPr>
        <xdr:cNvPr id="70" name="formCadastrarProtocolo:j_idt95">
          <a:extLst>
            <a:ext uri="{FF2B5EF4-FFF2-40B4-BE49-F238E27FC236}">
              <a16:creationId xmlns:a16="http://schemas.microsoft.com/office/drawing/2014/main" id="{0356BDB3-9A48-42E5-A514-CC720B97B4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0</xdr:rowOff>
    </xdr:from>
    <xdr:to>
      <xdr:col>5</xdr:col>
      <xdr:colOff>53340</xdr:colOff>
      <xdr:row>0</xdr:row>
      <xdr:rowOff>15240</xdr:rowOff>
    </xdr:to>
    <xdr:pic>
      <xdr:nvPicPr>
        <xdr:cNvPr id="71" name="formCadastrarProtocolo:j_idt97">
          <a:extLst>
            <a:ext uri="{FF2B5EF4-FFF2-40B4-BE49-F238E27FC236}">
              <a16:creationId xmlns:a16="http://schemas.microsoft.com/office/drawing/2014/main" id="{3F914CD5-346B-45B5-B253-9A62819EC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0</xdr:row>
      <xdr:rowOff>0</xdr:rowOff>
    </xdr:from>
    <xdr:to>
      <xdr:col>5</xdr:col>
      <xdr:colOff>62865</xdr:colOff>
      <xdr:row>0</xdr:row>
      <xdr:rowOff>15240</xdr:rowOff>
    </xdr:to>
    <xdr:pic>
      <xdr:nvPicPr>
        <xdr:cNvPr id="72" name="formCadastrarProtocolo:j_idt99">
          <a:extLst>
            <a:ext uri="{FF2B5EF4-FFF2-40B4-BE49-F238E27FC236}">
              <a16:creationId xmlns:a16="http://schemas.microsoft.com/office/drawing/2014/main" id="{D3A12D1A-361C-42D1-9C8B-ED2AF5A74E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2575" y="115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73" name="formFirma:j_idt92">
          <a:extLst>
            <a:ext uri="{FF2B5EF4-FFF2-40B4-BE49-F238E27FC236}">
              <a16:creationId xmlns:a16="http://schemas.microsoft.com/office/drawing/2014/main" id="{1F0E1F48-2113-49F1-BB51-5117A72C3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1533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15240</xdr:colOff>
      <xdr:row>0</xdr:row>
      <xdr:rowOff>15240</xdr:rowOff>
    </xdr:to>
    <xdr:pic>
      <xdr:nvPicPr>
        <xdr:cNvPr id="74" name="formFirma:j_idt92">
          <a:extLst>
            <a:ext uri="{FF2B5EF4-FFF2-40B4-BE49-F238E27FC236}">
              <a16:creationId xmlns:a16="http://schemas.microsoft.com/office/drawing/2014/main" id="{1E0FB7BE-144F-4BA5-BC76-6F6FA4A967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2486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13</xdr:row>
      <xdr:rowOff>0</xdr:rowOff>
    </xdr:from>
    <xdr:to>
      <xdr:col>5</xdr:col>
      <xdr:colOff>15240</xdr:colOff>
      <xdr:row>13</xdr:row>
      <xdr:rowOff>15240</xdr:rowOff>
    </xdr:to>
    <xdr:pic>
      <xdr:nvPicPr>
        <xdr:cNvPr id="75" name="formCadastrarProtocolo:j_idt93">
          <a:extLst>
            <a:ext uri="{FF2B5EF4-FFF2-40B4-BE49-F238E27FC236}">
              <a16:creationId xmlns:a16="http://schemas.microsoft.com/office/drawing/2014/main" id="{D7E13855-73F6-4D86-9C16-CCE5FB59B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819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15240</xdr:colOff>
      <xdr:row>16</xdr:row>
      <xdr:rowOff>15240</xdr:rowOff>
    </xdr:to>
    <xdr:pic>
      <xdr:nvPicPr>
        <xdr:cNvPr id="76" name="formCadastrarProtocolo:j_idt93">
          <a:extLst>
            <a:ext uri="{FF2B5EF4-FFF2-40B4-BE49-F238E27FC236}">
              <a16:creationId xmlns:a16="http://schemas.microsoft.com/office/drawing/2014/main" id="{4CBAB3C9-1E2B-408E-AC12-7D57439D2D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496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16</xdr:row>
      <xdr:rowOff>0</xdr:rowOff>
    </xdr:from>
    <xdr:to>
      <xdr:col>5</xdr:col>
      <xdr:colOff>24765</xdr:colOff>
      <xdr:row>16</xdr:row>
      <xdr:rowOff>15240</xdr:rowOff>
    </xdr:to>
    <xdr:pic>
      <xdr:nvPicPr>
        <xdr:cNvPr id="77" name="formCadastrarProtocolo:j_idt95">
          <a:extLst>
            <a:ext uri="{FF2B5EF4-FFF2-40B4-BE49-F238E27FC236}">
              <a16:creationId xmlns:a16="http://schemas.microsoft.com/office/drawing/2014/main" id="{43108FEC-BD43-4523-9EC9-F43A61C06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496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134</xdr:row>
      <xdr:rowOff>0</xdr:rowOff>
    </xdr:from>
    <xdr:to>
      <xdr:col>5</xdr:col>
      <xdr:colOff>15240</xdr:colOff>
      <xdr:row>134</xdr:row>
      <xdr:rowOff>15240</xdr:rowOff>
    </xdr:to>
    <xdr:pic>
      <xdr:nvPicPr>
        <xdr:cNvPr id="78" name="formCadastrarProtocolo:j_idt93">
          <a:extLst>
            <a:ext uri="{FF2B5EF4-FFF2-40B4-BE49-F238E27FC236}">
              <a16:creationId xmlns:a16="http://schemas.microsoft.com/office/drawing/2014/main" id="{5EA93061-9328-0504-FB54-1C0D2983D4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8925" y="25546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135</xdr:row>
      <xdr:rowOff>0</xdr:rowOff>
    </xdr:from>
    <xdr:ext cx="9525" cy="9525"/>
    <xdr:pic>
      <xdr:nvPicPr>
        <xdr:cNvPr id="79" name="formCadastrarProtocolo:j_idt93">
          <a:extLst>
            <a:ext uri="{FF2B5EF4-FFF2-40B4-BE49-F238E27FC236}">
              <a16:creationId xmlns:a16="http://schemas.microsoft.com/office/drawing/2014/main" id="{D15EB050-5824-457B-968C-07AB72ADC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8925" y="25546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180</xdr:row>
      <xdr:rowOff>0</xdr:rowOff>
    </xdr:from>
    <xdr:to>
      <xdr:col>5</xdr:col>
      <xdr:colOff>15240</xdr:colOff>
      <xdr:row>180</xdr:row>
      <xdr:rowOff>15240</xdr:rowOff>
    </xdr:to>
    <xdr:pic>
      <xdr:nvPicPr>
        <xdr:cNvPr id="80" name="formCadastrarProtocolo:j_idt93">
          <a:extLst>
            <a:ext uri="{FF2B5EF4-FFF2-40B4-BE49-F238E27FC236}">
              <a16:creationId xmlns:a16="http://schemas.microsoft.com/office/drawing/2014/main" id="{E8B8ED98-C1F4-79DA-290A-EED3B64789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469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180</xdr:row>
      <xdr:rowOff>0</xdr:rowOff>
    </xdr:from>
    <xdr:to>
      <xdr:col>5</xdr:col>
      <xdr:colOff>24765</xdr:colOff>
      <xdr:row>180</xdr:row>
      <xdr:rowOff>15240</xdr:rowOff>
    </xdr:to>
    <xdr:pic>
      <xdr:nvPicPr>
        <xdr:cNvPr id="81" name="formCadastrarProtocolo:j_idt95">
          <a:extLst>
            <a:ext uri="{FF2B5EF4-FFF2-40B4-BE49-F238E27FC236}">
              <a16:creationId xmlns:a16="http://schemas.microsoft.com/office/drawing/2014/main" id="{9219C896-587F-E19D-B5D3-A26A63E5A4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469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180</xdr:row>
      <xdr:rowOff>0</xdr:rowOff>
    </xdr:from>
    <xdr:to>
      <xdr:col>5</xdr:col>
      <xdr:colOff>53340</xdr:colOff>
      <xdr:row>180</xdr:row>
      <xdr:rowOff>15240</xdr:rowOff>
    </xdr:to>
    <xdr:pic>
      <xdr:nvPicPr>
        <xdr:cNvPr id="82" name="formCadastrarProtocolo:j_idt97">
          <a:extLst>
            <a:ext uri="{FF2B5EF4-FFF2-40B4-BE49-F238E27FC236}">
              <a16:creationId xmlns:a16="http://schemas.microsoft.com/office/drawing/2014/main" id="{DD8BDCAE-51A2-425C-B93C-BBA80ACE09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24575" y="3469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180</xdr:row>
      <xdr:rowOff>0</xdr:rowOff>
    </xdr:from>
    <xdr:to>
      <xdr:col>5</xdr:col>
      <xdr:colOff>62865</xdr:colOff>
      <xdr:row>180</xdr:row>
      <xdr:rowOff>15240</xdr:rowOff>
    </xdr:to>
    <xdr:pic>
      <xdr:nvPicPr>
        <xdr:cNvPr id="83" name="formCadastrarProtocolo:j_idt99">
          <a:extLst>
            <a:ext uri="{FF2B5EF4-FFF2-40B4-BE49-F238E27FC236}">
              <a16:creationId xmlns:a16="http://schemas.microsoft.com/office/drawing/2014/main" id="{9F93E4DD-481F-8D31-E9ED-DDAFEAA31C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3625" y="3469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181</xdr:row>
      <xdr:rowOff>0</xdr:rowOff>
    </xdr:from>
    <xdr:ext cx="9525" cy="9525"/>
    <xdr:pic>
      <xdr:nvPicPr>
        <xdr:cNvPr id="84" name="formCadastrarProtocolo:j_idt93">
          <a:extLst>
            <a:ext uri="{FF2B5EF4-FFF2-40B4-BE49-F238E27FC236}">
              <a16:creationId xmlns:a16="http://schemas.microsoft.com/office/drawing/2014/main" id="{602236D1-321C-472F-ADAE-FBCF45F9B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450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19050</xdr:colOff>
      <xdr:row>181</xdr:row>
      <xdr:rowOff>0</xdr:rowOff>
    </xdr:from>
    <xdr:ext cx="9525" cy="9525"/>
    <xdr:pic>
      <xdr:nvPicPr>
        <xdr:cNvPr id="85" name="formCadastrarProtocolo:j_idt95">
          <a:extLst>
            <a:ext uri="{FF2B5EF4-FFF2-40B4-BE49-F238E27FC236}">
              <a16:creationId xmlns:a16="http://schemas.microsoft.com/office/drawing/2014/main" id="{9A2406D4-82B5-4F32-8033-67C78A727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450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38100</xdr:colOff>
      <xdr:row>181</xdr:row>
      <xdr:rowOff>0</xdr:rowOff>
    </xdr:from>
    <xdr:ext cx="9525" cy="9525"/>
    <xdr:pic>
      <xdr:nvPicPr>
        <xdr:cNvPr id="86" name="formCadastrarProtocolo:j_idt97">
          <a:extLst>
            <a:ext uri="{FF2B5EF4-FFF2-40B4-BE49-F238E27FC236}">
              <a16:creationId xmlns:a16="http://schemas.microsoft.com/office/drawing/2014/main" id="{A2E52366-1A42-4367-8CAE-2625745D5F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24575" y="3450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57150</xdr:colOff>
      <xdr:row>181</xdr:row>
      <xdr:rowOff>0</xdr:rowOff>
    </xdr:from>
    <xdr:ext cx="9525" cy="9525"/>
    <xdr:pic>
      <xdr:nvPicPr>
        <xdr:cNvPr id="87" name="formCadastrarProtocolo:j_idt99">
          <a:extLst>
            <a:ext uri="{FF2B5EF4-FFF2-40B4-BE49-F238E27FC236}">
              <a16:creationId xmlns:a16="http://schemas.microsoft.com/office/drawing/2014/main" id="{89D6E33E-1968-45EC-8296-66BDCA04B7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3625" y="3450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183</xdr:row>
      <xdr:rowOff>0</xdr:rowOff>
    </xdr:from>
    <xdr:to>
      <xdr:col>5</xdr:col>
      <xdr:colOff>15240</xdr:colOff>
      <xdr:row>183</xdr:row>
      <xdr:rowOff>15240</xdr:rowOff>
    </xdr:to>
    <xdr:pic>
      <xdr:nvPicPr>
        <xdr:cNvPr id="88" name="formCadastrarProtocolo:j_idt97">
          <a:extLst>
            <a:ext uri="{FF2B5EF4-FFF2-40B4-BE49-F238E27FC236}">
              <a16:creationId xmlns:a16="http://schemas.microsoft.com/office/drawing/2014/main" id="{04F9C3FA-623F-B9D1-644F-8B783962F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488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183</xdr:row>
      <xdr:rowOff>0</xdr:rowOff>
    </xdr:from>
    <xdr:to>
      <xdr:col>5</xdr:col>
      <xdr:colOff>24765</xdr:colOff>
      <xdr:row>183</xdr:row>
      <xdr:rowOff>15240</xdr:rowOff>
    </xdr:to>
    <xdr:pic>
      <xdr:nvPicPr>
        <xdr:cNvPr id="89" name="formCadastrarProtocolo:j_idt99">
          <a:extLst>
            <a:ext uri="{FF2B5EF4-FFF2-40B4-BE49-F238E27FC236}">
              <a16:creationId xmlns:a16="http://schemas.microsoft.com/office/drawing/2014/main" id="{3F072619-572C-BB83-79B6-09FCD754F4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488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184</xdr:row>
      <xdr:rowOff>0</xdr:rowOff>
    </xdr:from>
    <xdr:ext cx="9525" cy="9525"/>
    <xdr:pic>
      <xdr:nvPicPr>
        <xdr:cNvPr id="90" name="formCadastrarProtocolo:j_idt97">
          <a:extLst>
            <a:ext uri="{FF2B5EF4-FFF2-40B4-BE49-F238E27FC236}">
              <a16:creationId xmlns:a16="http://schemas.microsoft.com/office/drawing/2014/main" id="{7763A3E8-FBDF-49AF-8070-BAB91F94F4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488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19050</xdr:colOff>
      <xdr:row>184</xdr:row>
      <xdr:rowOff>0</xdr:rowOff>
    </xdr:from>
    <xdr:ext cx="9525" cy="9525"/>
    <xdr:pic>
      <xdr:nvPicPr>
        <xdr:cNvPr id="91" name="formCadastrarProtocolo:j_idt99">
          <a:extLst>
            <a:ext uri="{FF2B5EF4-FFF2-40B4-BE49-F238E27FC236}">
              <a16:creationId xmlns:a16="http://schemas.microsoft.com/office/drawing/2014/main" id="{A053CF9F-C99D-48A1-B3B8-B580E7DCE0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488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185</xdr:row>
      <xdr:rowOff>0</xdr:rowOff>
    </xdr:from>
    <xdr:ext cx="9525" cy="9525"/>
    <xdr:pic>
      <xdr:nvPicPr>
        <xdr:cNvPr id="92" name="formCadastrarProtocolo:j_idt97">
          <a:extLst>
            <a:ext uri="{FF2B5EF4-FFF2-40B4-BE49-F238E27FC236}">
              <a16:creationId xmlns:a16="http://schemas.microsoft.com/office/drawing/2014/main" id="{663CD846-F0E1-4C63-A9C2-58841C49F3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5071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19050</xdr:colOff>
      <xdr:row>185</xdr:row>
      <xdr:rowOff>0</xdr:rowOff>
    </xdr:from>
    <xdr:ext cx="9525" cy="9525"/>
    <xdr:pic>
      <xdr:nvPicPr>
        <xdr:cNvPr id="93" name="formCadastrarProtocolo:j_idt99">
          <a:extLst>
            <a:ext uri="{FF2B5EF4-FFF2-40B4-BE49-F238E27FC236}">
              <a16:creationId xmlns:a16="http://schemas.microsoft.com/office/drawing/2014/main" id="{183F83FD-922D-4A21-89CC-19D0B32071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5071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186</xdr:row>
      <xdr:rowOff>0</xdr:rowOff>
    </xdr:from>
    <xdr:ext cx="9525" cy="9525"/>
    <xdr:pic>
      <xdr:nvPicPr>
        <xdr:cNvPr id="94" name="formCadastrarProtocolo:j_idt97">
          <a:extLst>
            <a:ext uri="{FF2B5EF4-FFF2-40B4-BE49-F238E27FC236}">
              <a16:creationId xmlns:a16="http://schemas.microsoft.com/office/drawing/2014/main" id="{A0F7B1CC-2958-4F85-AC28-E14FB67649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5261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19050</xdr:colOff>
      <xdr:row>186</xdr:row>
      <xdr:rowOff>0</xdr:rowOff>
    </xdr:from>
    <xdr:ext cx="9525" cy="9525"/>
    <xdr:pic>
      <xdr:nvPicPr>
        <xdr:cNvPr id="95" name="formCadastrarProtocolo:j_idt99">
          <a:extLst>
            <a:ext uri="{FF2B5EF4-FFF2-40B4-BE49-F238E27FC236}">
              <a16:creationId xmlns:a16="http://schemas.microsoft.com/office/drawing/2014/main" id="{5B406B1D-9C00-4B1E-A05D-1FFCFF2EA1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5525" y="35261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0</xdr:colOff>
      <xdr:row>241</xdr:row>
      <xdr:rowOff>0</xdr:rowOff>
    </xdr:from>
    <xdr:to>
      <xdr:col>2</xdr:col>
      <xdr:colOff>15240</xdr:colOff>
      <xdr:row>241</xdr:row>
      <xdr:rowOff>15240</xdr:rowOff>
    </xdr:to>
    <xdr:pic>
      <xdr:nvPicPr>
        <xdr:cNvPr id="96" name="formCadastrarProtocolo:j_idt93">
          <a:extLst>
            <a:ext uri="{FF2B5EF4-FFF2-40B4-BE49-F238E27FC236}">
              <a16:creationId xmlns:a16="http://schemas.microsoft.com/office/drawing/2014/main" id="{D68DB48B-A457-195F-2A6C-A32EBCABA4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5958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0</xdr:colOff>
      <xdr:row>242</xdr:row>
      <xdr:rowOff>0</xdr:rowOff>
    </xdr:from>
    <xdr:ext cx="9525" cy="9525"/>
    <xdr:pic>
      <xdr:nvPicPr>
        <xdr:cNvPr id="97" name="formCadastrarProtocolo:j_idt93">
          <a:extLst>
            <a:ext uri="{FF2B5EF4-FFF2-40B4-BE49-F238E27FC236}">
              <a16:creationId xmlns:a16="http://schemas.microsoft.com/office/drawing/2014/main" id="{3D3EEACC-08B5-4C6F-AE08-19D1928AF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5958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243</xdr:row>
      <xdr:rowOff>0</xdr:rowOff>
    </xdr:from>
    <xdr:ext cx="9525" cy="9525"/>
    <xdr:pic>
      <xdr:nvPicPr>
        <xdr:cNvPr id="98" name="formCadastrarProtocolo:j_idt93">
          <a:extLst>
            <a:ext uri="{FF2B5EF4-FFF2-40B4-BE49-F238E27FC236}">
              <a16:creationId xmlns:a16="http://schemas.microsoft.com/office/drawing/2014/main" id="{F294E69F-9700-42D3-B485-FEE22DDE3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5958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244</xdr:row>
      <xdr:rowOff>0</xdr:rowOff>
    </xdr:from>
    <xdr:ext cx="9525" cy="9525"/>
    <xdr:pic>
      <xdr:nvPicPr>
        <xdr:cNvPr id="99" name="formCadastrarProtocolo:j_idt93">
          <a:extLst>
            <a:ext uri="{FF2B5EF4-FFF2-40B4-BE49-F238E27FC236}">
              <a16:creationId xmlns:a16="http://schemas.microsoft.com/office/drawing/2014/main" id="{FC3D115E-45BE-4262-913D-0685A262B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6148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245</xdr:row>
      <xdr:rowOff>0</xdr:rowOff>
    </xdr:from>
    <xdr:ext cx="9525" cy="9525"/>
    <xdr:pic>
      <xdr:nvPicPr>
        <xdr:cNvPr id="100" name="formCadastrarProtocolo:j_idt93">
          <a:extLst>
            <a:ext uri="{FF2B5EF4-FFF2-40B4-BE49-F238E27FC236}">
              <a16:creationId xmlns:a16="http://schemas.microsoft.com/office/drawing/2014/main" id="{6254BE3A-5360-4089-8F6C-4FCD955FA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6529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246</xdr:row>
      <xdr:rowOff>0</xdr:rowOff>
    </xdr:from>
    <xdr:ext cx="9525" cy="9525"/>
    <xdr:pic>
      <xdr:nvPicPr>
        <xdr:cNvPr id="101" name="formCadastrarProtocolo:j_idt93">
          <a:extLst>
            <a:ext uri="{FF2B5EF4-FFF2-40B4-BE49-F238E27FC236}">
              <a16:creationId xmlns:a16="http://schemas.microsoft.com/office/drawing/2014/main" id="{244C7496-4395-48E1-8F80-6A7B19648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6720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247</xdr:row>
      <xdr:rowOff>0</xdr:rowOff>
    </xdr:from>
    <xdr:ext cx="9525" cy="9525"/>
    <xdr:pic>
      <xdr:nvPicPr>
        <xdr:cNvPr id="102" name="formCadastrarProtocolo:j_idt93">
          <a:extLst>
            <a:ext uri="{FF2B5EF4-FFF2-40B4-BE49-F238E27FC236}">
              <a16:creationId xmlns:a16="http://schemas.microsoft.com/office/drawing/2014/main" id="{09D286DD-762E-4D9B-97FD-CE5C922374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6910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248</xdr:row>
      <xdr:rowOff>0</xdr:rowOff>
    </xdr:from>
    <xdr:ext cx="9525" cy="9525"/>
    <xdr:pic>
      <xdr:nvPicPr>
        <xdr:cNvPr id="103" name="formCadastrarProtocolo:j_idt93">
          <a:extLst>
            <a:ext uri="{FF2B5EF4-FFF2-40B4-BE49-F238E27FC236}">
              <a16:creationId xmlns:a16="http://schemas.microsoft.com/office/drawing/2014/main" id="{193CA5E7-697A-45B7-B42D-13DDFCED1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0" y="47101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281</xdr:row>
      <xdr:rowOff>0</xdr:rowOff>
    </xdr:from>
    <xdr:to>
      <xdr:col>5</xdr:col>
      <xdr:colOff>15240</xdr:colOff>
      <xdr:row>281</xdr:row>
      <xdr:rowOff>15240</xdr:rowOff>
    </xdr:to>
    <xdr:pic>
      <xdr:nvPicPr>
        <xdr:cNvPr id="104" name="formFirma:j_idt92">
          <a:extLst>
            <a:ext uri="{FF2B5EF4-FFF2-40B4-BE49-F238E27FC236}">
              <a16:creationId xmlns:a16="http://schemas.microsoft.com/office/drawing/2014/main" id="{E33E38FF-A03F-FB02-24DB-FE0E9AFCA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53578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333</xdr:row>
      <xdr:rowOff>0</xdr:rowOff>
    </xdr:from>
    <xdr:to>
      <xdr:col>5</xdr:col>
      <xdr:colOff>15240</xdr:colOff>
      <xdr:row>333</xdr:row>
      <xdr:rowOff>15240</xdr:rowOff>
    </xdr:to>
    <xdr:pic>
      <xdr:nvPicPr>
        <xdr:cNvPr id="105" name="formFirma:j_idt92">
          <a:extLst>
            <a:ext uri="{FF2B5EF4-FFF2-40B4-BE49-F238E27FC236}">
              <a16:creationId xmlns:a16="http://schemas.microsoft.com/office/drawing/2014/main" id="{503FA965-231D-1402-8907-5A4223EA61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86575" y="63484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391</xdr:row>
      <xdr:rowOff>0</xdr:rowOff>
    </xdr:from>
    <xdr:to>
      <xdr:col>5</xdr:col>
      <xdr:colOff>15240</xdr:colOff>
      <xdr:row>391</xdr:row>
      <xdr:rowOff>15240</xdr:rowOff>
    </xdr:to>
    <xdr:pic>
      <xdr:nvPicPr>
        <xdr:cNvPr id="106" name="formFirma:j_idt92">
          <a:extLst>
            <a:ext uri="{FF2B5EF4-FFF2-40B4-BE49-F238E27FC236}">
              <a16:creationId xmlns:a16="http://schemas.microsoft.com/office/drawing/2014/main" id="{490996BA-399E-A2FE-EA85-69836A0C5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9275" y="75295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404</xdr:row>
      <xdr:rowOff>0</xdr:rowOff>
    </xdr:from>
    <xdr:to>
      <xdr:col>5</xdr:col>
      <xdr:colOff>15240</xdr:colOff>
      <xdr:row>404</xdr:row>
      <xdr:rowOff>15240</xdr:rowOff>
    </xdr:to>
    <xdr:pic>
      <xdr:nvPicPr>
        <xdr:cNvPr id="107" name="formProfissional:j_idt94">
          <a:extLst>
            <a:ext uri="{FF2B5EF4-FFF2-40B4-BE49-F238E27FC236}">
              <a16:creationId xmlns:a16="http://schemas.microsoft.com/office/drawing/2014/main" id="{56DFB4D4-80B6-7741-3E5C-45769575BB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9275" y="77771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404</xdr:row>
      <xdr:rowOff>0</xdr:rowOff>
    </xdr:from>
    <xdr:to>
      <xdr:col>5</xdr:col>
      <xdr:colOff>24765</xdr:colOff>
      <xdr:row>404</xdr:row>
      <xdr:rowOff>15240</xdr:rowOff>
    </xdr:to>
    <xdr:pic>
      <xdr:nvPicPr>
        <xdr:cNvPr id="108" name="formProfissional:j_idt96">
          <a:extLst>
            <a:ext uri="{FF2B5EF4-FFF2-40B4-BE49-F238E27FC236}">
              <a16:creationId xmlns:a16="http://schemas.microsoft.com/office/drawing/2014/main" id="{40D8D372-3218-A901-2B5B-2BEB1E9BE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48325" y="77771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6</xdr:row>
      <xdr:rowOff>110474</xdr:rowOff>
    </xdr:to>
    <xdr:pic>
      <xdr:nvPicPr>
        <xdr:cNvPr id="3" name="Imagem 2">
          <a:extLst>
            <a:ext uri="{FF2B5EF4-FFF2-40B4-BE49-F238E27FC236}">
              <a16:creationId xmlns:a16="http://schemas.microsoft.com/office/drawing/2014/main" id="{F88B36EC-6DC7-4585-973B-F6250DB4EFFE}"/>
            </a:ext>
          </a:extLst>
        </xdr:cNvPr>
        <xdr:cNvPicPr>
          <a:picLocks noChangeAspect="1"/>
        </xdr:cNvPicPr>
      </xdr:nvPicPr>
      <xdr:blipFill>
        <a:blip xmlns:r="http://schemas.openxmlformats.org/officeDocument/2006/relationships" r:embed="rId1"/>
        <a:stretch>
          <a:fillRect/>
        </a:stretch>
      </xdr:blipFill>
      <xdr:spPr>
        <a:xfrm>
          <a:off x="0" y="0"/>
          <a:ext cx="2257425" cy="7010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H:\CADASTRO\___DOCUMENTOS%20CADASTRO\Controle%20protocolos\A.%20Atualizador%20orienta&#231;&#245;es.xlsx" TargetMode="External"/><Relationship Id="rId1" Type="http://schemas.openxmlformats.org/officeDocument/2006/relationships/externalLinkPath" Target="file:///H:\CADASTRO\___DOCUMENTOS%20CADASTRO\Controle%20protocolos\A.%20Atualizador%20orienta&#231;&#245;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H:\CADASTRO\___DOCUMENTOS%20CADASTRO\Controle%20protocolos\A.%20Atualizador%20Respostas%20Base.xlsx" TargetMode="External"/><Relationship Id="rId1" Type="http://schemas.openxmlformats.org/officeDocument/2006/relationships/externalLinkPath" Target="file:///H:\CADASTRO\___DOCUMENTOS%20CADASTRO\Controle%20protocolos\A.%20Atualizador%20Respostas%20Bas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H:\CADASTRO\___DOCUMENTOS%20CADASTRO\Controle%20protocolos\A.%20Atualizador%20piso.xlsx" TargetMode="External"/><Relationship Id="rId1" Type="http://schemas.openxmlformats.org/officeDocument/2006/relationships/externalLinkPath" Target="file:///H:\CADASTRO\___DOCUMENTOS%20CADASTRO\Controle%20protocolos\A.%20Atualizador%20pis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1"/>
    </sheetNames>
    <sheetDataSet>
      <sheetData sheetId="0">
        <row r="2">
          <cell r="A2" t="str">
            <v>CONTRATO DE PRESTAÇÃO DE SERVIÇOS</v>
          </cell>
          <cell r="B2" t="str">
            <v>Dados do contratante e contratado;</v>
          </cell>
          <cell r="C2" t="str">
            <v>Objeto do contrato condizente com atividade farmacêutica;</v>
          </cell>
          <cell r="D2" t="str">
            <v>Vigência mínima de 90 dias a partir da data do protocolo;</v>
          </cell>
          <cell r="E2" t="str">
            <v>Deve, obrigatoriamente conter a carga horária ou os horários de início e término, bem como os intervalos.</v>
          </cell>
          <cell r="F2" t="str">
            <v> Assinatura do contratante e contratado.</v>
          </cell>
          <cell r="G2" t="str">
            <v>Se carga horária superior a 6h/dia, sem intervalo, essa condição deverá constar expressamente no contrato, com a informação de que o profissional está ciente.</v>
          </cell>
          <cell r="H2" t="str">
            <v>Remuneração conforme o piso da região.</v>
          </cell>
          <cell r="I2" t="str">
            <v>Para escalas 12X36 (em farmácias e distribuidoras) apresentar Termo de Acordo entre empregador e o contratado. Nesta situação é obrigatório declarar intervalo.</v>
          </cell>
          <cell r="J2" t="str">
            <v>Alvará de Profissional Autônomo: dados do profissional;  atividade de farmacêutico ou área da saúde e dentro do prazo de validade, com assinatura do emissor ou código de validação.</v>
          </cell>
          <cell r="K2" t="str">
            <v>Nos casos de contrato com o município, não há necessidade de apresentação de alvará de autônomo.</v>
          </cell>
          <cell r="L2" t="str">
            <v>Carga horária e/ou horários igual ao declarado no declarado no Termo de Compromisso;</v>
          </cell>
          <cell r="M2" t="str">
            <v>*</v>
          </cell>
          <cell r="N2" t="str">
            <v>*</v>
          </cell>
          <cell r="O2" t="str">
            <v>*</v>
          </cell>
        </row>
        <row r="3">
          <cell r="A3" t="str">
            <v>CONTRATO DE PRESTAÇÃO DE SERVIÇOS COM EMPRESA TERCEIRA PRIVADA</v>
          </cell>
          <cell r="B3" t="str">
            <v>Dados do contratante e contratado.</v>
          </cell>
          <cell r="C3" t="str">
            <v>Objeto do contrato condizente com atividade farmacêutica</v>
          </cell>
          <cell r="D3" t="str">
            <v>Vigência mínima de 90 dias, da data do protocolo.</v>
          </cell>
          <cell r="E3" t="str">
            <v>Carga horária compatível com o declarado no Termo de Compromisso. </v>
          </cell>
          <cell r="F3" t="str">
            <v>Se carga horária superior a 6h/dia, sem intervalo, essa condição deverá constar expressamente no contrato, com a informação de que o profissional está ciente.</v>
          </cell>
          <cell r="G3" t="str">
            <v>Deve, obrigatoriamente conter a carga horária ou os horários de início e término, bem como os intervalos.</v>
          </cell>
          <cell r="H3" t="str">
            <v>Para escalas 12X36 (em farmácias e distribuidoras) apresentar Termo de Acordo entre empregador e o contratado. Nesta situação é obrigatório declarar intervalo.</v>
          </cell>
          <cell r="I3" t="str">
            <v> Assinatura do contratante e contratado.</v>
          </cell>
          <cell r="J3" t="str">
            <v> Contrato social da empresa terceirizada contendo o CNAE 8650-0/99</v>
          </cell>
          <cell r="K3" t="str">
            <v>Contratação do profissional com a empresa 3ª poderá ser por:</v>
          </cell>
          <cell r="L3" t="str">
            <v>CTPS FÍSICA + Declaração de lotação (expedida pela empresa terceira informando o local de lotação do profissional)</v>
          </cell>
          <cell r="M3" t="str">
            <v>CTPS DIGITAL + Declaração de lotação (expedida pela empresa terceira informando o local de lotação do profissional)</v>
          </cell>
          <cell r="N3" t="str">
            <v>Contrato de prestação de serviços e alvará de autônomo.</v>
          </cell>
          <cell r="O3" t="str">
            <v>Remuneração conforme o piso da região.</v>
          </cell>
        </row>
        <row r="4">
          <cell r="A4" t="str">
            <v>CONTRATO POR CREDENCIAMENTO COM EMPRESAS TERCEIRA E ÓRGÃOS PÚBLICOS</v>
          </cell>
          <cell r="B4" t="str">
            <v>Identificação das partes : Nome do órgão contratante, Nome da empresa credenciada (razão social), CNPJ, endereço e representante legal.</v>
          </cell>
          <cell r="C4" t="str">
            <v>Objeto do contrato condizente com atividade farmacêutica</v>
          </cell>
          <cell r="D4" t="str">
            <v>Condições: forma de execução, vigência do contrato, assinatura do contratante e contratado.</v>
          </cell>
          <cell r="E4" t="str">
            <v>Na contratação do profissional com a empresa terceira poderá ser:</v>
          </cell>
          <cell r="F4" t="str">
            <v>CTPS FÍSICA + Declaração de lotação (expedida pela empresa terceira informando o local de lotação do profissional)</v>
          </cell>
          <cell r="G4" t="str">
            <v>CTPS DIGITAL + Declaração de lotação (expedida pela empresa terceira informando o local de lotação do profissional)</v>
          </cell>
          <cell r="H4" t="str">
            <v>Contrato de prestação de serviços e alvará de autônomo.</v>
          </cell>
          <cell r="I4" t="str">
            <v>Vigência mínima de 90 dias, da data do protocolo.</v>
          </cell>
          <cell r="J4" t="str">
            <v>*</v>
          </cell>
          <cell r="K4" t="str">
            <v>*</v>
          </cell>
          <cell r="L4" t="str">
            <v>*</v>
          </cell>
          <cell r="M4" t="str">
            <v>*</v>
          </cell>
          <cell r="N4" t="str">
            <v>*</v>
          </cell>
          <cell r="O4" t="str">
            <v>*</v>
          </cell>
        </row>
        <row r="5">
          <cell r="A5" t="str">
            <v>CTPS DIGITAL</v>
          </cell>
          <cell r="B5" t="str">
            <v>Dados do profissional.</v>
          </cell>
          <cell r="C5" t="str">
            <v>Razão social e CNPJ.</v>
          </cell>
          <cell r="D5" t="str">
            <v>Cargo e CBO de farmacêutico ou equivalente de nível superior (que seja condizente ao ramo do estabelecimento).</v>
          </cell>
          <cell r="E5" t="str">
            <v>Remuneração conforme o piso da região.</v>
          </cell>
          <cell r="F5" t="str">
            <v>Verificar se possui outros vínculos em aberto na CTPS.</v>
          </cell>
          <cell r="G5" t="str">
            <v>*</v>
          </cell>
          <cell r="H5" t="str">
            <v>*</v>
          </cell>
          <cell r="I5" t="str">
            <v>*</v>
          </cell>
          <cell r="J5" t="str">
            <v>*</v>
          </cell>
          <cell r="K5" t="str">
            <v>*</v>
          </cell>
          <cell r="L5" t="str">
            <v>*</v>
          </cell>
          <cell r="M5" t="str">
            <v>*</v>
          </cell>
          <cell r="N5" t="str">
            <v>*</v>
          </cell>
          <cell r="O5" t="str">
            <v>*</v>
          </cell>
        </row>
        <row r="6">
          <cell r="A6" t="str">
            <v>CTPS FÍSICA</v>
          </cell>
          <cell r="B6" t="str">
            <v>Página da foto com assinatura.</v>
          </cell>
          <cell r="C6" t="str">
            <v>Página da qualificação civil (verso da foto).</v>
          </cell>
          <cell r="D6" t="str">
            <v>Contrato com o estabelecimento, contendo:</v>
          </cell>
          <cell r="E6" t="str">
            <v>Razão social e CNPJ.</v>
          </cell>
          <cell r="F6" t="str">
            <v>Cargo e CBO de farmacêutico (2234-05) ou equivalente de nível superior (que seja condizente ao ramo do estabelecimento).</v>
          </cell>
          <cell r="G6" t="str">
            <v>Remuneração conforme o piso da região e/ou página de atualização salarial.</v>
          </cell>
          <cell r="H6" t="str">
            <v>Assinatura do contratante.</v>
          </cell>
          <cell r="I6" t="str">
            <v>Caso seja transferência, apresentar também a página de anotação com a transferência.</v>
          </cell>
          <cell r="J6" t="str">
            <v>*</v>
          </cell>
          <cell r="K6" t="str">
            <v>*</v>
          </cell>
          <cell r="L6" t="str">
            <v>*</v>
          </cell>
          <cell r="M6" t="str">
            <v>*</v>
          </cell>
          <cell r="N6" t="str">
            <v>*</v>
          </cell>
          <cell r="O6" t="str">
            <v>*</v>
          </cell>
        </row>
        <row r="7">
          <cell r="A7" t="str">
            <v>E-SOCIAL</v>
          </cell>
          <cell r="B7" t="str">
            <v>Dados do profissional .</v>
          </cell>
          <cell r="C7" t="str">
            <v>Cargo e CBO de farmacêutico ou equivalente de nível superior (que seja condizente ao ramo do estabelecimento).</v>
          </cell>
          <cell r="D7" t="str">
            <v>Remuneração conforme o piso da região.</v>
          </cell>
          <cell r="E7" t="str">
            <v>Local de trabalho com CNPJ e razão social.</v>
          </cell>
          <cell r="F7" t="str">
            <v>Data da alteração, ou transferência (não pode ser superior a data do protocolo).</v>
          </cell>
          <cell r="G7" t="str">
            <v>*</v>
          </cell>
          <cell r="H7" t="str">
            <v>*</v>
          </cell>
          <cell r="I7" t="str">
            <v>*</v>
          </cell>
          <cell r="J7" t="str">
            <v>*</v>
          </cell>
          <cell r="K7" t="str">
            <v>*</v>
          </cell>
          <cell r="L7" t="str">
            <v>*</v>
          </cell>
          <cell r="M7" t="str">
            <v>*</v>
          </cell>
          <cell r="N7" t="str">
            <v>*</v>
          </cell>
          <cell r="O7" t="str">
            <v>*</v>
          </cell>
        </row>
        <row r="8">
          <cell r="A8" t="str">
            <v>PROCESSO SELETIVO SIMPLIFICADO</v>
          </cell>
          <cell r="B8" t="str">
            <v>Contratação por PSS poderá ocorrer através de:</v>
          </cell>
          <cell r="C8" t="str">
            <v>CTPS, neste caso, consultar o MENU &gt;&gt; CTPS DIGITAL.</v>
          </cell>
          <cell r="D8" t="str">
            <v>Contrato de Prestação de Serviços, neste caso, consultar o MENU &gt;&gt; CONTRATO DE PRESTAÇÃO DE SERVIÇOS.</v>
          </cell>
          <cell r="E8" t="str">
            <v>Ambas as modalidades de contratações, possuem contrato do Processo Seletivo, o qual deverá ser solicitado em caso de dúvidas.</v>
          </cell>
          <cell r="F8" t="str">
            <v>*</v>
          </cell>
          <cell r="G8" t="str">
            <v>*</v>
          </cell>
          <cell r="H8" t="str">
            <v>*</v>
          </cell>
          <cell r="I8" t="str">
            <v>*</v>
          </cell>
          <cell r="J8" t="str">
            <v>*</v>
          </cell>
          <cell r="K8" t="str">
            <v>*</v>
          </cell>
          <cell r="L8" t="str">
            <v>*</v>
          </cell>
          <cell r="M8" t="str">
            <v>*</v>
          </cell>
          <cell r="N8" t="str">
            <v>*</v>
          </cell>
          <cell r="O8" t="str">
            <v>*</v>
          </cell>
        </row>
        <row r="9">
          <cell r="A9" t="str">
            <v>REQUERIMENTO DO ESTABELECIMENTO</v>
          </cell>
          <cell r="B9" t="str">
            <v>Razão social.</v>
          </cell>
          <cell r="C9" t="str">
            <v>Nome fantasia.</v>
          </cell>
          <cell r="D9" t="str">
            <v>Dados de contato (endereço/telefone/e-mail).</v>
          </cell>
          <cell r="E9" t="str">
            <v>Verificar se selecionou - alteração de horário de funcionamento.</v>
          </cell>
          <cell r="F9" t="str">
            <v>Gerado pelo atual Diretor Técnico.</v>
          </cell>
          <cell r="G9" t="str">
            <v>Emitido nos últimos 30 dias anterior ao protocolo.</v>
          </cell>
          <cell r="H9" t="str">
            <v>Ramo de atividade igual ou alterado, se alterado, pedir alteração contratual com CNAE da atividade declarada.</v>
          </cell>
          <cell r="I9" t="str">
            <v>Códigos de validação legíveis.</v>
          </cell>
          <cell r="J9" t="str">
            <v>*</v>
          </cell>
          <cell r="K9" t="str">
            <v>*</v>
          </cell>
          <cell r="L9" t="str">
            <v>*</v>
          </cell>
          <cell r="M9" t="str">
            <v>*</v>
          </cell>
          <cell r="N9" t="str">
            <v>*</v>
          </cell>
          <cell r="O9" t="str">
            <v>*</v>
          </cell>
        </row>
        <row r="10">
          <cell r="A10" t="str">
            <v>REQUERIMENTO DO ESTABELECIMENTO (Farmácia Hospitalar)</v>
          </cell>
          <cell r="B10" t="str">
            <v>Razão social.</v>
          </cell>
          <cell r="C10" t="str">
            <v>Nome fantasia.</v>
          </cell>
          <cell r="D10" t="str">
            <v>Dados de contato (endereço/telefone/e-mail).</v>
          </cell>
          <cell r="E10" t="str">
            <v>Selecionado alteração de horário.</v>
          </cell>
          <cell r="F10" t="str">
            <v>Gerado pelo atual Diretor Técnico.</v>
          </cell>
          <cell r="G10" t="str">
            <v>Emitido nos últimos 30 dias anterior ao protocolo.</v>
          </cell>
          <cell r="H10" t="str">
            <v>Ramo de atividade igual ou alterado, se alterado, pedir alteração contratual com CNAE da atividade declarada.</v>
          </cell>
          <cell r="I10" t="str">
            <v>Códigos de validação legíveis.</v>
          </cell>
          <cell r="J10" t="str">
            <v>Tipo do estabelecimento.</v>
          </cell>
          <cell r="K10" t="str">
            <v>Especialidade.</v>
          </cell>
          <cell r="L10" t="str">
            <v>Número de leitos.</v>
          </cell>
          <cell r="M10" t="str">
            <v>Caso possua Oncologia ou Radiofarmácia deverá indicar o profissional habilitado na área.</v>
          </cell>
          <cell r="N10" t="str">
            <v>*</v>
          </cell>
          <cell r="O10" t="str">
            <v>*</v>
          </cell>
        </row>
        <row r="11">
          <cell r="A11" t="str">
            <v>REQUERIMENTO DO ESTABELECIMENTO (Indústria)</v>
          </cell>
          <cell r="B11" t="str">
            <v>Razão social.</v>
          </cell>
          <cell r="C11" t="str">
            <v>Nome fantasia.</v>
          </cell>
          <cell r="D11" t="str">
            <v>Dados de contato (endereço/telefone/e-mail).</v>
          </cell>
          <cell r="E11" t="str">
            <v>Selecionado alteração de horário.</v>
          </cell>
          <cell r="F11" t="str">
            <v>Gerado pelo atual Diretor Técnico.</v>
          </cell>
          <cell r="G11" t="str">
            <v>Emitido nos últimos 30 dias anterior ao protocolo.</v>
          </cell>
          <cell r="H11" t="str">
            <v>Ramo de atividade igual ou alterado, se alterado, pedir alteração contratual com CNAE da atividade declarada.</v>
          </cell>
          <cell r="I11" t="str">
            <v>Códigos de validação legíveis.</v>
          </cell>
          <cell r="J11" t="str">
            <v>Tipo de Indústria.</v>
          </cell>
          <cell r="K11" t="str">
            <v>Horário de produção.</v>
          </cell>
          <cell r="L11" t="str">
            <v>*</v>
          </cell>
          <cell r="M11" t="str">
            <v>*</v>
          </cell>
          <cell r="N11" t="str">
            <v>*</v>
          </cell>
          <cell r="O11" t="str">
            <v>*</v>
          </cell>
        </row>
        <row r="12">
          <cell r="A12" t="str">
            <v>REQUERIMENTO DO ESTABELECIMENTO (Laboratório Industrial / Controle de qualidade / Esterilização / De pesquisa)</v>
          </cell>
          <cell r="B12" t="str">
            <v>Razão social.</v>
          </cell>
          <cell r="C12" t="str">
            <v>Nome fantasia.</v>
          </cell>
          <cell r="D12" t="str">
            <v>Dados de contato (endereço/telefone/e-mail).</v>
          </cell>
          <cell r="E12" t="str">
            <v>Selecionado alteração de horário.</v>
          </cell>
          <cell r="F12" t="str">
            <v>Gerado pelo atual Diretor Técnico.</v>
          </cell>
          <cell r="G12" t="str">
            <v>Emitido nos últimos 30 dias anterior ao protocolo.</v>
          </cell>
          <cell r="H12" t="str">
            <v>Ramo de atividade igual ou alterado, se alterado, pedir alteração contratual com CNAE da atividade declarada.</v>
          </cell>
          <cell r="I12" t="str">
            <v>Códigos de validação legíveis.</v>
          </cell>
          <cell r="J12" t="str">
            <v>Tipo de Laboratório.</v>
          </cell>
          <cell r="K12" t="str">
            <v>Horário de produção.</v>
          </cell>
          <cell r="L12" t="str">
            <v>*</v>
          </cell>
          <cell r="M12" t="str">
            <v>*</v>
          </cell>
          <cell r="N12" t="str">
            <v>*</v>
          </cell>
          <cell r="O12" t="str">
            <v>*</v>
          </cell>
        </row>
        <row r="13">
          <cell r="A13" t="str">
            <v>REQUERIMENTO DO ESTABELECIMENTO (Manipulação Alopática e Homeopática)</v>
          </cell>
          <cell r="B13" t="str">
            <v>Razão social.</v>
          </cell>
          <cell r="C13" t="str">
            <v>Nome fantasia.</v>
          </cell>
          <cell r="D13" t="str">
            <v>Dados de contato (endereço/telefone/e-mail).</v>
          </cell>
          <cell r="E13" t="str">
            <v>Selecionado alteração de horário.</v>
          </cell>
          <cell r="F13" t="str">
            <v>Gerado pelo atual Diretor Técnico.</v>
          </cell>
          <cell r="G13" t="str">
            <v>Emitido nos últimos 30 dias anterior ao protocolo.</v>
          </cell>
          <cell r="H13" t="str">
            <v>Ramo de atividade igual ou alterado, se alterado, pedir alteração contratual com CNAE da atividade declarada.</v>
          </cell>
          <cell r="I13" t="str">
            <v>Códigos de validação legíveis.</v>
          </cell>
          <cell r="J13" t="str">
            <v>Verificar se está assinalado “alopatia e homeopatia”.</v>
          </cell>
          <cell r="K13" t="str">
            <v>Verificar o preenchimento do horário de cada laboratório e se foi informado o profissional responsável.</v>
          </cell>
          <cell r="L13" t="str">
            <v>Verificar se o profissional informado na homeopatia possui habilitação.</v>
          </cell>
          <cell r="M13" t="str">
            <v>*</v>
          </cell>
          <cell r="N13" t="str">
            <v>*</v>
          </cell>
          <cell r="O13" t="str">
            <v>*</v>
          </cell>
        </row>
        <row r="14">
          <cell r="A14" t="str">
            <v>REQUERIMENTO DO ESTABELECIMENTO (Manipulação Alopática)</v>
          </cell>
          <cell r="B14" t="str">
            <v>Razão social.</v>
          </cell>
          <cell r="C14" t="str">
            <v>Nome fantasia.</v>
          </cell>
          <cell r="D14" t="str">
            <v>Dados de contato (endereço/telefone/e-mail).</v>
          </cell>
          <cell r="E14" t="str">
            <v>Selecionado alteração de horário.</v>
          </cell>
          <cell r="F14" t="str">
            <v>Gerado pelo atual Diretor Técnico.</v>
          </cell>
          <cell r="G14" t="str">
            <v>Emitido nos últimos 30 dias anterior ao protocolo.</v>
          </cell>
          <cell r="H14" t="str">
            <v>Ramo de atividade igual ou alterado, se alterado, pedir alteração contratual com CNAE da atividade declarada.</v>
          </cell>
          <cell r="I14" t="str">
            <v>Códigos de validação legíveis.</v>
          </cell>
          <cell r="J14" t="str">
            <v>Verificar se está assinalado “alopatia”.</v>
          </cell>
          <cell r="K14" t="str">
            <v>*</v>
          </cell>
          <cell r="L14" t="str">
            <v>*</v>
          </cell>
          <cell r="M14" t="str">
            <v>*</v>
          </cell>
          <cell r="N14" t="str">
            <v>*</v>
          </cell>
          <cell r="O14" t="str">
            <v>*</v>
          </cell>
        </row>
        <row r="15">
          <cell r="A15" t="str">
            <v>REQUERIMENTO DO ESTABELECIMENTO (Manipulação Homeopática)</v>
          </cell>
          <cell r="B15" t="str">
            <v>Razão social.</v>
          </cell>
          <cell r="C15" t="str">
            <v>Nome fantasia.</v>
          </cell>
          <cell r="D15" t="str">
            <v>Dados de contato (endereço/telefone/e-mail).</v>
          </cell>
          <cell r="E15" t="str">
            <v>Selecionado alteração de horário.</v>
          </cell>
          <cell r="F15" t="str">
            <v>Gerado pelo atual Diretor Técnico.</v>
          </cell>
          <cell r="G15" t="str">
            <v>Emitido nos últimos 30 dias anterior ao protocolo.</v>
          </cell>
          <cell r="H15" t="str">
            <v>Ramo de atividade igual ou alterado, se alterado, pedir alteração contratual com CNAE da atividade declarada.</v>
          </cell>
          <cell r="I15" t="str">
            <v>Códigos de validação legíveis.</v>
          </cell>
          <cell r="J15" t="str">
            <v>Verificar se está assinalado “homeopatia”.</v>
          </cell>
          <cell r="K15" t="str">
            <v>*</v>
          </cell>
          <cell r="L15" t="str">
            <v>*</v>
          </cell>
          <cell r="M15" t="str">
            <v>*</v>
          </cell>
          <cell r="N15" t="str">
            <v>*</v>
          </cell>
          <cell r="O15" t="str">
            <v>*</v>
          </cell>
        </row>
        <row r="16">
          <cell r="A16" t="str">
            <v>REQUERIMENTO DO ESTABELECIMENTO (Posto de Coleta/Laboratório de Análises Clínicas)</v>
          </cell>
          <cell r="B16" t="str">
            <v>Razão social.</v>
          </cell>
          <cell r="C16" t="str">
            <v>Nome fantasia.</v>
          </cell>
          <cell r="D16" t="str">
            <v>Dados de contato (endereço/telefone/e-mail).</v>
          </cell>
          <cell r="E16" t="str">
            <v>Selecionado alteração de horário.</v>
          </cell>
          <cell r="F16" t="str">
            <v>Gerado pelo atual Diretor Técnico.</v>
          </cell>
          <cell r="G16" t="str">
            <v>Emitido nos últimos 30 dias anterior ao protocolo.</v>
          </cell>
          <cell r="H16" t="str">
            <v>Ramo de atividade igual ou alterado, se alterado, pedir alteração contratual com CNAE da atividade declarada.</v>
          </cell>
          <cell r="I16" t="str">
            <v>Códigos de validação legíveis.</v>
          </cell>
          <cell r="J16" t="str">
            <v>*</v>
          </cell>
          <cell r="K16" t="str">
            <v>*</v>
          </cell>
          <cell r="L16" t="str">
            <v>*</v>
          </cell>
          <cell r="M16" t="str">
            <v>*</v>
          </cell>
          <cell r="N16" t="str">
            <v>*</v>
          </cell>
          <cell r="O16" t="str">
            <v>*</v>
          </cell>
        </row>
        <row r="17">
          <cell r="A17" t="str">
            <v>SERVIDOR PÚBLICO</v>
          </cell>
          <cell r="B17" t="str">
            <v>Portaria, Decreto ou Equivalente de nomeação, publicado em Diário Oficial.</v>
          </cell>
          <cell r="C17" t="str">
            <v>Caso seja uma nomeação antiga, ou já tenha possuído outras responsabilidades técnicas no órgão:</v>
          </cell>
          <cell r="D17" t="str">
            <v>Solicitar a declaração de lotação.</v>
          </cell>
          <cell r="E17" t="str">
            <v>*</v>
          </cell>
          <cell r="F17" t="str">
            <v>*</v>
          </cell>
          <cell r="G17" t="str">
            <v>*</v>
          </cell>
          <cell r="H17" t="str">
            <v>*</v>
          </cell>
          <cell r="I17" t="str">
            <v>*</v>
          </cell>
          <cell r="J17" t="str">
            <v>*</v>
          </cell>
          <cell r="K17" t="str">
            <v>*</v>
          </cell>
          <cell r="L17" t="str">
            <v>*</v>
          </cell>
          <cell r="M17" t="str">
            <v>*</v>
          </cell>
          <cell r="N17" t="str">
            <v>*</v>
          </cell>
          <cell r="O17" t="str">
            <v>*</v>
          </cell>
        </row>
        <row r="18">
          <cell r="A18" t="str">
            <v>TERMO DE COMPROMISSO DO PROFISSIONAL</v>
          </cell>
          <cell r="B18" t="str">
            <v>Nome e nº inscrição.</v>
          </cell>
          <cell r="C18" t="str">
            <v>CNPJ e nome fantasia.</v>
          </cell>
          <cell r="D18" t="str">
            <v>Endereço atualizado ou solicitação de atualização; nesse caso, alterar no cadastro do profissional e protocolar (ocorrência 86) com a observação: "alteração de endereço solicitada no protocolo xxx".</v>
          </cell>
          <cell r="E18" t="str">
            <v>Modalidade de assistência correta.</v>
          </cell>
          <cell r="F18" t="str">
            <v>Horário declarado máximo de até 10 horas por dia.</v>
          </cell>
          <cell r="G18" t="str">
            <v>Verificar intervalo de acordo com o vínculo.</v>
          </cell>
          <cell r="H18" t="str">
            <v>Acima de 06 horas de carga diária é obrigatório declarar o intervalo, se CTPS.</v>
          </cell>
          <cell r="I18" t="str">
            <v>Abaixo de 06 horas não é necessário declarar intervalo.</v>
          </cell>
          <cell r="J18" t="str">
            <v>Emitido nos últimos 30 dias anterior ao protocolo.</v>
          </cell>
          <cell r="K18" t="str">
            <v>Códigos de validação legíveis.</v>
          </cell>
          <cell r="L18" t="str">
            <v>Verificar se tem outra atividade em horário conflitante.</v>
          </cell>
          <cell r="M18" t="str">
            <v>Caso possua outra RT, ver o deslocamento se hábil, e no mínimo 15 minutos. </v>
          </cell>
          <cell r="N18" t="str">
            <v> Outras atividades declaradas – Caso possua, solicitar Declaração de Vínculos e acrescentar a informação no cadastro do profissional (criar protocolo e adicionar outros vínculos).</v>
          </cell>
          <cell r="O18" t="str">
            <v>Verificar se o profissional possui inscrição secundária em outro CRF, caso possua, solicitar Declaração de Responsabilidades Técnicas Ativas.</v>
          </cell>
        </row>
        <row r="20">
          <cell r="A20" t="str">
            <v>CLÍNICA DE ESTÉTICA</v>
          </cell>
          <cell r="B20" t="str">
            <v>Verificar se o profissional que está ingressando possui habilitação em estética.</v>
          </cell>
          <cell r="C20" t="str">
            <v>Profissional deverá preencher DECLARAÇÃO ESTÉTICA.</v>
          </cell>
          <cell r="D20" t="str">
            <v>Lançar status 9474 - DECLARAÇÃO ESTÉTICA - AÇÕES JUDICIAIS 2026 com o nome do(a) profissional na observação do status</v>
          </cell>
          <cell r="E20" t="str">
            <v xml:space="preserve">Caso já tenha um status 9430 - ASSINOU DECLARAÇÃO DA AÇÃO DE ESTÉTICA referente ao profissional do procedimento, inativar status. </v>
          </cell>
          <cell r="F20" t="str">
            <v>*</v>
          </cell>
          <cell r="G20" t="str">
            <v>Conforme autos nº 0061755-88.2013.4.01.3400/DF do TRFª1 região há vedação aos farmacêuticos de procedimentos previstos na Resolução CFF nº573/2013.</v>
          </cell>
          <cell r="H20" t="str">
            <v>Existe Ação Civil Pública nº 1093803-34.2023.4.01.3400, em tramitação na 21ª Vara Federal do DF, na qual declara nulidade parcial das Resoluções CFF nº 616/2015 e nº 645/2017.</v>
          </cell>
          <cell r="I20" t="str">
            <v>*</v>
          </cell>
          <cell r="J20" t="str">
            <v>*</v>
          </cell>
          <cell r="K20" t="str">
            <v>*</v>
          </cell>
          <cell r="L20" t="str">
            <v>*</v>
          </cell>
        </row>
        <row r="21">
          <cell r="A21" t="str">
            <v>CONTRATO COM PRAZO DETERMINADO</v>
          </cell>
          <cell r="B21" t="str">
            <v>Lançar no dados II: Data Validade Certificado deverá ser igual a data fim do contrato. Se houver mais de um contrato com prazo determinado, lançar o vencimento mais recente.</v>
          </cell>
          <cell r="C21" t="str">
            <v>Lançar status 9 - CONTRATO POR TEMPO DETERMINADO </v>
          </cell>
          <cell r="D21" t="str">
            <v>Preencher a data de início e fim. </v>
          </cell>
          <cell r="E21" t="str">
            <v>Descrever o campo observação: contrato nº (se houver) com empresa xxx , (CNPJ xxx) OU contrato com profissional xxx, vigente até xx/xx/xx (protocolo xxx).</v>
          </cell>
          <cell r="F21" t="str">
            <v>No campo - responsável técnico: preencher a data vencimento do contrato (não confundir com a data de rescisão).</v>
          </cell>
          <cell r="G21" t="str">
            <v>*</v>
          </cell>
          <cell r="H21" t="str">
            <v>*</v>
          </cell>
          <cell r="I21" t="str">
            <v>*</v>
          </cell>
          <cell r="J21" t="str">
            <v>*</v>
          </cell>
          <cell r="K21" t="str">
            <v>*</v>
          </cell>
          <cell r="L21" t="str">
            <v>*</v>
          </cell>
        </row>
        <row r="22">
          <cell r="A22" t="str">
            <v>HOSPITALAR</v>
          </cell>
          <cell r="B22" t="str">
            <v>Verificar se o profissional que está ingressando possui habilitação em farmácia hospitalar.</v>
          </cell>
          <cell r="C22" t="str">
            <v>Se oncologia, lançar status 9462 - PROFISSIONAIS HABILITADOS EM ONCOLOGIA com o nome dos profissionais habilitados.</v>
          </cell>
          <cell r="D22" t="str">
            <v>Se registro, lançar status 9400 - DECISAO JUDICIAL (conforme a quantidade de leitos - verificar padrão no manual).</v>
          </cell>
          <cell r="E22" t="str">
            <v>Se registro, preencher o campo "observações certificado" - conforme informação do manual.</v>
          </cell>
          <cell r="F22" t="str">
            <v>Se registro, lançar status 9471 - ESTAB. HOSP. COM ATÉ 50 LEITOS ou 9472 - ESTAB. HOSP. COM MAIS DE 50 LEITOS.</v>
          </cell>
          <cell r="G22" t="str">
            <v>*</v>
          </cell>
          <cell r="H22" t="str">
            <v>*</v>
          </cell>
          <cell r="I22" t="str">
            <v>*</v>
          </cell>
          <cell r="J22" t="str">
            <v>*</v>
          </cell>
          <cell r="K22" t="str">
            <v>*</v>
          </cell>
          <cell r="L22" t="str">
            <v>*</v>
          </cell>
        </row>
        <row r="23">
          <cell r="A23" t="str">
            <v>INDÚSTRIA</v>
          </cell>
          <cell r="B23" t="str">
            <v>Verificar se o profissional que está ingressando possui formação conforme consta no link: https://www.crf-pr.org.br/pagina/view/184</v>
          </cell>
          <cell r="C23" t="str">
            <v>Se indústria,homeopática o profissional deverá possuiR habilitação na área.</v>
          </cell>
          <cell r="D23" t="str">
            <v>No cadastro da empresa deverá ter status 9473 - HORÁRIO DE PRODUÇÃO, descrevendo o horário de produção.</v>
          </cell>
          <cell r="E23" t="str">
            <v>Assistência farmacêutica deverá ser por todo o horário de produção.</v>
          </cell>
          <cell r="F23" t="str">
            <v>.</v>
          </cell>
          <cell r="G23" t="str">
            <v>*</v>
          </cell>
          <cell r="H23" t="str">
            <v>*</v>
          </cell>
          <cell r="I23" t="str">
            <v>*</v>
          </cell>
          <cell r="J23" t="str">
            <v>*</v>
          </cell>
          <cell r="K23" t="str">
            <v>*</v>
          </cell>
          <cell r="L23" t="str">
            <v>*</v>
          </cell>
        </row>
        <row r="24">
          <cell r="A24" t="str">
            <v>INGRESSO POR EMPRESA TERCEIRIZADA</v>
          </cell>
          <cell r="B24" t="str">
            <v>Contrato do estabelecimento com a empresa terceirizada, conforme item "contrato".</v>
          </cell>
          <cell r="C24" t="str">
            <v>Vínculo do profissional com a empresa terceirizada.</v>
          </cell>
          <cell r="D24" t="str">
            <v>Declaração de lotação assinada pela terceirizada.</v>
          </cell>
          <cell r="E24" t="str">
            <v>Incluir status 9433 - RT POR EMPRESA TERCEIRIZADA no padrão: nome completo do profissional contratado via ctps OU contrato/sócio/proprietário - empresa xxx, (CNPJ xx.xxx.xxx/0001-00)</v>
          </cell>
          <cell r="F24" t="str">
            <v>Lançar a data de início e fim (se houver) no status.</v>
          </cell>
          <cell r="G24" t="str">
            <v>No contrato do profissional, na "Situação RT" selecionar: terceirizado.</v>
          </cell>
          <cell r="H24" t="str">
            <v>*</v>
          </cell>
          <cell r="I24" t="str">
            <v>*</v>
          </cell>
          <cell r="J24" t="str">
            <v>*</v>
          </cell>
          <cell r="K24" t="str">
            <v>*</v>
          </cell>
          <cell r="L24" t="str">
            <v>*</v>
          </cell>
        </row>
        <row r="25">
          <cell r="A25" t="str">
            <v>MANIPULAÇÃO - SE HOUVER HOMEOPATIA</v>
          </cell>
          <cell r="B25" t="str">
            <v>Verificar se o profissional que está ingressando possui habilitação em farmácia homeopática</v>
          </cell>
          <cell r="C25" t="str">
            <v>Obrigatoriamente o Diretor e o substituto (caso houver) deverão ser habilitados</v>
          </cell>
          <cell r="D25" t="str">
            <v>Atualizar status 9420 com o nome dos profissionais que manipulam homeopatia (caso não tenha, incluir status).</v>
          </cell>
          <cell r="E25" t="str">
            <v>*</v>
          </cell>
          <cell r="F25" t="str">
            <v>*</v>
          </cell>
          <cell r="G25" t="str">
            <v>*</v>
          </cell>
          <cell r="H25" t="str">
            <v>*</v>
          </cell>
          <cell r="I25" t="str">
            <v>*</v>
          </cell>
          <cell r="J25" t="str">
            <v>*</v>
          </cell>
          <cell r="K25" t="str">
            <v>*</v>
          </cell>
          <cell r="L25" t="str">
            <v>*</v>
          </cell>
        </row>
        <row r="26">
          <cell r="A26" t="str">
            <v>MODALIDADE DAP</v>
          </cell>
          <cell r="B26" t="str">
            <v>Poderá realizar cobertura de no máximo 06 profissionais no mesmo estabelecimento ou em estabelecimentos distintos, desde que, possuam assistência integral.</v>
          </cell>
          <cell r="C26" t="str">
            <v>Não é necessário declarar horário. Se o profissional possuir outro vínculo com horário declarado, deverá declarar também na DAP de modo a não gerar conflito de assistência.</v>
          </cell>
          <cell r="D26" t="str">
            <v>Incluir apenas status 22 - DAP - DECLARAÇÃO DE ATIVIDADE PROFISSIONAL com o nome do profissional e na data de início preencher a data do protocolo.</v>
          </cell>
          <cell r="E26" t="str">
            <v>Caso o estabelecimento possua mais de 1 farmacêutico na modalidade DAP, criar um status 22 para cada profissional.</v>
          </cell>
          <cell r="F26" t="str">
            <v>Na data de contrato do profissional, preencher com a data do protocolo e não a data do Plenário.</v>
          </cell>
          <cell r="G26" t="str">
            <v>*</v>
          </cell>
          <cell r="H26" t="str">
            <v>*</v>
          </cell>
          <cell r="I26" t="str">
            <v>*</v>
          </cell>
          <cell r="J26" t="str">
            <v>*</v>
          </cell>
          <cell r="K26" t="str">
            <v>*</v>
          </cell>
          <cell r="L26" t="str">
            <v>*</v>
          </cell>
        </row>
        <row r="27">
          <cell r="A27" t="str">
            <v>MODALIDADE SUBSTITUTO</v>
          </cell>
          <cell r="B27" t="str">
            <v>Substituto não deve declarar horário.</v>
          </cell>
          <cell r="C27" t="str">
            <v>Contempla o horário integral do estabelecimento sendo assim verificar se não possui conflito.</v>
          </cell>
          <cell r="D27" t="str">
            <v>Só poderá assumir outra RT caso seja fora do horário de funcionamento do estabelecimento no qual já é substituto.</v>
          </cell>
          <cell r="E27" t="str">
            <v>*</v>
          </cell>
          <cell r="F27" t="str">
            <v>*</v>
          </cell>
          <cell r="G27" t="str">
            <v>*</v>
          </cell>
          <cell r="H27" t="str">
            <v>*</v>
          </cell>
          <cell r="I27" t="str">
            <v>*</v>
          </cell>
          <cell r="J27" t="str">
            <v>*</v>
          </cell>
          <cell r="K27" t="str">
            <v>*</v>
          </cell>
          <cell r="L27" t="str">
            <v>*</v>
          </cell>
        </row>
        <row r="28">
          <cell r="A28" t="str">
            <v>POSTO DE COLETA/LABORATÓRIO DE ANÁLISES CLÍNICAS</v>
          </cell>
          <cell r="B28" t="str">
            <v>Verificar se o profissional que está ingressando possui habilitação como Farmacêutico-Bioquímico opção Análises Clínicas e Toxicológicas ou é Farmacêutico Generalista (Habilidades Técnicas).</v>
          </cell>
          <cell r="C28" t="str">
            <v>Não é necessário declarar horário.</v>
          </cell>
          <cell r="D28" t="str">
            <v>Caso o profissional possua outra atividade que necessite declarar assistência e que conflite com o horário do estabelecimento, deverá declarar o seu horário de assistência.</v>
          </cell>
          <cell r="E28" t="str">
            <v>Se é posto de coleta independente (matriz) deverá ter contrato com laboratório.</v>
          </cell>
          <cell r="F28" t="str">
            <v>Posto de coleta matriz, deve ter status 38 - POSTO DE COLETA PRESTADOR DE SERVIÇOS e na observação o nome do laboratório.</v>
          </cell>
          <cell r="G28" t="str">
            <v>*</v>
          </cell>
          <cell r="H28" t="str">
            <v>*</v>
          </cell>
          <cell r="I28" t="str">
            <v>*</v>
          </cell>
          <cell r="J28" t="str">
            <v>*</v>
          </cell>
          <cell r="K28" t="str">
            <v>*</v>
          </cell>
          <cell r="L28" t="str">
            <v>*</v>
          </cell>
        </row>
        <row r="29">
          <cell r="A29" t="str">
            <v>PROFISSIONAIS QUE POSSUEM OUTRA RT OU ATIVIDADE</v>
          </cell>
          <cell r="B29" t="str">
            <v>Verificar se possui tempo hábil de deslocamento, não podendo ser inferior a 15 minutos.</v>
          </cell>
          <cell r="C29" t="str">
            <v>Caso tenha declarado outra atividade:</v>
          </cell>
          <cell r="D29" t="str">
            <v>Verificar se está lançada no cadastro do profissional, na aba "Outros Vínculos";</v>
          </cell>
          <cell r="E29" t="str">
            <v>Caso não esteja lançado, solicitar declaração do estabelecimento contendo dias e horários das atividades;</v>
          </cell>
          <cell r="F29" t="str">
            <v>Adicionar horários da declaração na aba "Outros Vínculos", e na observação adicionar - "Declaração apresentada no protocolo xxx";</v>
          </cell>
          <cell r="G29" t="str">
            <v>Protocolar a declaração recebida no cadastro do profissional:</v>
          </cell>
          <cell r="H29" t="str">
            <v>Utilizar a ocorrência 86 - INFORMACOES GERAIS – PF;</v>
          </cell>
          <cell r="I29" t="str">
            <v>Anexar a declaração/documento.</v>
          </cell>
          <cell r="J29" t="str">
            <v>Adicionar nas observações do protocolo: "Declaração apresentada no protocolo xxx".</v>
          </cell>
          <cell r="K29" t="str">
            <v>Caso tenha inscrição em outro estado, deverá apresentar declaração daquele Conselho (emitido no máximo em 30 dias).</v>
          </cell>
          <cell r="L29" t="str">
            <v>*</v>
          </cell>
        </row>
        <row r="30">
          <cell r="A30" t="str">
            <v>REABILITAÇÃO DE REGISTRO PJ</v>
          </cell>
          <cell r="B30" t="str">
            <v>Dados II: preencher o campo "Data de Reabilitação" com a data da plenária do procedimento.</v>
          </cell>
          <cell r="C30" t="str">
            <v>Inativar status 9456 - PRE CADASTRO - REABILITAÇÃO.</v>
          </cell>
          <cell r="D30" t="str">
            <v>Incluir: status 106 REQ. REABILITACAO REGISTRO EM ANDAMENTO - com a data da plenária vigente.</v>
          </cell>
          <cell r="E30" t="str">
            <v>Alterar a ocorrência no protocolo para 17 - REQUER REABILITACAO DE REGISTRO - PJ.</v>
          </cell>
          <cell r="F30" t="str">
            <v>*</v>
          </cell>
          <cell r="G30" t="str">
            <v>*</v>
          </cell>
          <cell r="H30" t="str">
            <v>*</v>
          </cell>
          <cell r="I30" t="str">
            <v>*</v>
          </cell>
          <cell r="J30" t="str">
            <v>*</v>
          </cell>
          <cell r="K30" t="str">
            <v>*</v>
          </cell>
          <cell r="L30" t="str">
            <v>*</v>
          </cell>
        </row>
        <row r="31">
          <cell r="A31" t="str">
            <v>REGISTRO DE ESTABELECIMENTO</v>
          </cell>
          <cell r="B31" t="str">
            <v>Pagamento da taxa de registro.</v>
          </cell>
          <cell r="C31" t="str">
            <v>Dados I:  campo "Data Inscrição CRF" incluir/alterar para a data da plenária vigente. E conferir a Categoria da Empresa</v>
          </cell>
          <cell r="D31" t="str">
            <v>Dados II: Campo "Data Aprovação Plenária" preencher com a data da plenária vigente e o campo "Data Abertura Firma" preencher conforme a data de registro na junta ou a data informada no cartão CNPJ</v>
          </cell>
          <cell r="E31" t="str">
            <v>Incluir: status 9452 - RECADASTRAMENTO DE EMPRESA, não é necessário para órgão público.</v>
          </cell>
          <cell r="F31" t="str">
            <v>Observar status 20 - ILEGAL AUTUAR, pois é de empresa que tentou registrar e não conseguiu, ou fiscal constatou que estava funcionando sem registro. Se tudo correto, inativar.</v>
          </cell>
          <cell r="G31" t="str">
            <v>Inativar status 02 - PRE CADASTRO.</v>
          </cell>
          <cell r="H31" t="str">
            <v>Incluir: status 105 - REQ.REGISTRO EM ANDAMENTO, preencher data da plenária vigente.</v>
          </cell>
          <cell r="I31" t="str">
            <v>Ocorrência no protocolo web deverá ser alterado para 16 REQUER REGISTRO - PJ.</v>
          </cell>
          <cell r="J31" t="str">
            <v>Na aba dados de contato: Incluir telefones e e-mail conforme preenchido no protocolo (dados da firma &gt;&gt; contato).</v>
          </cell>
          <cell r="K31" t="str">
            <v>Obrigatoriamente o estabelecimento deve estar regular.</v>
          </cell>
          <cell r="L31" t="str">
            <v>FARMÁCIA HOSPITALAR é isenta de taxa de registro e anuidade / ÓRGÃO PÚBLICO é isento de anuidade - Nestes casos, selecionar o campo no Sagicon "Isento Anuidade".</v>
          </cell>
        </row>
        <row r="33">
          <cell r="A33" t="str">
            <v>CRITÉRIOS DO AD REFERENDUM</v>
          </cell>
          <cell r="B33" t="str">
            <v>Verificar se não está na lista das empresas sem AD REFERENDUM: São João, Nissei, Panvel, Brava, Beautypharma, Unipreço, Fleming, Trajano, Freefarma, Ponto Popular (Farmácia Kalug), Callfarma, Morifarma.</v>
          </cell>
          <cell r="C33" t="str">
            <v>Verificar estava regular ou com prazo para regularizar até a data do protocolo.</v>
          </cell>
          <cell r="D33" t="str">
            <v>Sem débitos (exceção de RECURSO CFF e/ou MANDADO DE SEGURANÇA).</v>
          </cell>
          <cell r="E33" t="str">
            <v>Sem autuação nos últimos 30 dias do protocolo.</v>
          </cell>
          <cell r="F33" t="str">
            <v>Verificar se o protocolo foi realizado dentro do período de 30 dias da data fim do status.</v>
          </cell>
          <cell r="G33" t="str">
            <v>No caso de hospitalar -50 leitos, se tiver status 9457 poderá solicitar AD independente da data fim.</v>
          </cell>
          <cell r="H33" t="str">
            <v>Para indústrias ou farmácia com manipulação que possuir status 9468, verificar se o protocolo estaria dentro do prazo contado a partir da data fim do status.</v>
          </cell>
          <cell r="I33" t="str">
            <v>*</v>
          </cell>
          <cell r="J33" t="str">
            <v>*</v>
          </cell>
          <cell r="K33" t="str">
            <v>*</v>
          </cell>
          <cell r="L33" t="str">
            <v>*</v>
          </cell>
          <cell r="M33" t="str">
            <v>*</v>
          </cell>
          <cell r="N33" t="str">
            <v>*</v>
          </cell>
          <cell r="O33" t="str">
            <v>*</v>
          </cell>
          <cell r="P33" t="str">
            <v>*</v>
          </cell>
        </row>
        <row r="34">
          <cell r="A34" t="str">
            <v>LANÇAMENTO DE status - PROTOCOLO FINALIZADO</v>
          </cell>
          <cell r="B34" t="str">
            <v>Inativar o status 210 - HORARIO NOVO CONDIZENTE.</v>
          </cell>
          <cell r="C34" t="str">
            <v>Caso tenha status 9467/9468 e a assistência fique regular, inativar o status.</v>
          </cell>
          <cell r="D34" t="str">
            <v>Ingresso ou Mudança de Modalidade: incluir status - 108 - REQ.INGRESSO R.T. EM ANDAMENTO.</v>
          </cell>
          <cell r="E34" t="str">
            <v>Se ingresso, descrever no padrão: IRT - DT/SUB/AT, nome do profissional.</v>
          </cell>
          <cell r="F34" t="str">
            <v>Se alterar modalidade, descrever no padrão: ALT MOD (nome do prof) de DT/AT/SUB/DAP para DT/AT/SUB/DAP.</v>
          </cell>
          <cell r="G34" t="str">
            <v>Somente em alteração de horário: incluir status - 130 - REQ. ALTERACAO DE HORARIO EM ANDAMENTO</v>
          </cell>
          <cell r="H34" t="str">
            <v>Descrever no padrão: ALT HOR - DT/SUB/AT - nome do profissional.</v>
          </cell>
          <cell r="I34" t="str">
            <v>Caso possua status 101, inativar</v>
          </cell>
          <cell r="J34" t="str">
            <v>Caso tenha um protocolo em andamento, retirar a data de conferência.</v>
          </cell>
          <cell r="K34" t="str">
            <v>*</v>
          </cell>
          <cell r="L34" t="str">
            <v>*</v>
          </cell>
          <cell r="M34" t="str">
            <v>*</v>
          </cell>
          <cell r="N34" t="str">
            <v>*</v>
          </cell>
          <cell r="O34" t="str">
            <v>*</v>
          </cell>
          <cell r="P34" t="str">
            <v>*</v>
          </cell>
        </row>
        <row r="35">
          <cell r="A35" t="str">
            <v>LANÇAMENTO DE status - PROTOCOLO IRREGULAR</v>
          </cell>
          <cell r="B35" t="str">
            <v>Se ampliar horário e a empresa ficar IRREGULAR:</v>
          </cell>
          <cell r="C35" t="str">
            <v>Lançar status 9468 - SEM ASSISTÊNCIA FARMACÊUTICA AUTUAR, lançar data início e fim (que será a mesma) com a data do protocolo.</v>
          </cell>
          <cell r="D35" t="str">
            <v>Incluir na observação: "Ampliou horário de funcionamento, sem contemplar assistência integral" e adicionar os dias e horários descobertos.</v>
          </cell>
          <cell r="E35" t="str">
            <v>Se alterou o horário e/ou modalidade dos profissionais e a empresa ficar IRREGULAR:</v>
          </cell>
          <cell r="F35" t="str">
            <v>Lançar status 9467 - SEM ASSISTÊNCIA FARMACÊUTICA - COM PRAZO ATÉ, lançar data início (data protocolo) e fim (30 dias corridos).</v>
          </cell>
          <cell r="G35" t="str">
            <v>Incluir na observação: Motivo da irregularidade (prazo da alteração de horário / prazo da mudança de modalidade), e incluir os dias e horários sem assistência.</v>
          </cell>
          <cell r="H35" t="str">
            <v>Criar protocolo com a ocorrência 209 - INFORMACOES GERAIS – PJ. Nas observações, incluir texto padrão.</v>
          </cell>
          <cell r="I35" t="str">
            <v>*</v>
          </cell>
          <cell r="J35" t="str">
            <v>*</v>
          </cell>
          <cell r="K35" t="str">
            <v>*</v>
          </cell>
          <cell r="L35" t="str">
            <v>*</v>
          </cell>
          <cell r="M35" t="str">
            <v>*</v>
          </cell>
          <cell r="N35" t="str">
            <v>*</v>
          </cell>
          <cell r="O35" t="str">
            <v>*</v>
          </cell>
          <cell r="P35" t="str">
            <v>*</v>
          </cell>
        </row>
        <row r="36">
          <cell r="A36" t="str">
            <v>ANEXAR O ARQUIVO DO PROCEDIMENTO NO GED</v>
          </cell>
          <cell r="B36" t="str">
            <v>Pelo sistema PDF24, juntar os documentos.</v>
          </cell>
          <cell r="C36" t="str">
            <v>Termo de Responsabilidade Técnica do Estabelecimento e  Protocolo em PDF, impressão do protocolo - 1 via.</v>
          </cell>
          <cell r="D36" t="str">
            <v>Em caso de Registro, além dos documentos mencionados, devem ser anexados todos os demais documentos de registro, na seguinte ordem:</v>
          </cell>
          <cell r="E36" t="str">
            <v>Protocolo &gt; Quadro de horários &gt; Contrato Social &gt; Cartão CNPJ &gt; Requerimento do estabelecimento &gt; Termo de compromisso &gt; Vínculo trabalhista &gt; Alvará, se houver</v>
          </cell>
          <cell r="F36" t="str">
            <v>&gt; Outros documentos, caso possua &gt; comprovante de pagamento, se houver.</v>
          </cell>
          <cell r="G36" t="str">
            <v>PADRÕES NOME:</v>
          </cell>
          <cell r="H36" t="str">
            <v>Ingresso_RT_Protocolo_xxx</v>
          </cell>
          <cell r="I36" t="str">
            <v>Alteração_Horário_Protocolo_xxx</v>
          </cell>
          <cell r="J36" t="str">
            <v>Alteração_Modalidade_Protocolo_xxx</v>
          </cell>
          <cell r="K36" t="str">
            <v>Registro_RT_Protocolo_xxx</v>
          </cell>
          <cell r="L36" t="str">
            <v>Reabilitação_Registro_Protocolo_xxx</v>
          </cell>
          <cell r="M36" t="str">
            <v>Metadados a serem preenchidos no GED:</v>
          </cell>
          <cell r="N36" t="str">
            <v>Ano do documento.</v>
          </cell>
          <cell r="O36" t="str">
            <v>Número do protocolo.</v>
          </cell>
          <cell r="P36" t="str">
            <v>PAE e PAP (poderão ser inseridos todos os PA de profissionais disponíveis no GED).</v>
          </cell>
        </row>
        <row r="37">
          <cell r="A37" t="str">
            <v>LANÇAMENTO DA SITUAÇÃO RESPONSÁVEL TÉCNICO CONFORME O VÍNCULO</v>
          </cell>
          <cell r="B37" t="str">
            <v>Autônomo - Sempre que o vínculo for por meio de contrato de trabalho</v>
          </cell>
          <cell r="C37" t="str">
            <v>Sócio - Quando há mais de um proprietário do estabelecimento</v>
          </cell>
          <cell r="D37" t="str">
            <v>Terceirizado - Quando a contratação do profissional não é diretamente com o estabelecimento, ou ele é proprietário da empresa terceira.</v>
          </cell>
          <cell r="E37" t="str">
            <v>Contratado - Sempre que o vínculo for por meio de carteira de trabalho, ou PSS.</v>
          </cell>
          <cell r="F37" t="str">
            <v>Proprietário - quando o profissional é o único dono do estabelecimento</v>
          </cell>
          <cell r="G37" t="str">
            <v>Servidor Público - Quando o vínculo é por meio de nomeação.</v>
          </cell>
          <cell r="H37" t="str">
            <v>Arrendatário - Quando é apresentado um contrato de arrendamento do profissional com o estabelecimento.</v>
          </cell>
          <cell r="I37" t="str">
            <v>*</v>
          </cell>
          <cell r="J37" t="str">
            <v>*</v>
          </cell>
          <cell r="K37" t="str">
            <v>*</v>
          </cell>
          <cell r="L37" t="str">
            <v>*</v>
          </cell>
          <cell r="M37" t="str">
            <v>*</v>
          </cell>
          <cell r="N37" t="str">
            <v>*</v>
          </cell>
          <cell r="O37" t="str">
            <v>*</v>
          </cell>
          <cell r="P37" t="str">
            <v>*</v>
          </cell>
        </row>
        <row r="38">
          <cell r="A38" t="str">
            <v>PADRÕES PARA SALVAR ARQUIVOS NO GED</v>
          </cell>
          <cell r="B38" t="str">
            <v>Ingresso_RT_Protocolo_xxx</v>
          </cell>
          <cell r="C38" t="str">
            <v>Alteração_Horário_Protocolo_xxx</v>
          </cell>
          <cell r="D38" t="str">
            <v>Alteração_Modalidade_Protocolo_xxx</v>
          </cell>
          <cell r="E38" t="str">
            <v>Registro_RT_Protocolo_xxx</v>
          </cell>
          <cell r="F38" t="str">
            <v>Reabilitação_Registro_Protocolo_xxx</v>
          </cell>
          <cell r="G38" t="str">
            <v>*</v>
          </cell>
          <cell r="H38" t="str">
            <v>*</v>
          </cell>
          <cell r="I38" t="str">
            <v>*</v>
          </cell>
          <cell r="J38" t="str">
            <v>*</v>
          </cell>
          <cell r="K38" t="str">
            <v>*</v>
          </cell>
          <cell r="L38" t="str">
            <v>*</v>
          </cell>
          <cell r="M38" t="str">
            <v>*</v>
          </cell>
          <cell r="N38" t="str">
            <v>*</v>
          </cell>
          <cell r="O38" t="str">
            <v>*</v>
          </cell>
          <cell r="P38" t="str">
            <v>*</v>
          </cell>
        </row>
        <row r="39">
          <cell r="A39" t="str">
            <v>PROTOCOLO INTERNO DE AD REFERENDUM</v>
          </cell>
          <cell r="B39" t="str">
            <v>Clicar em PROTOCOLO INTERNO.</v>
          </cell>
          <cell r="C39" t="str">
            <v>Ocorrência 390 - ANÁLISE DE AD REFERENDUM.</v>
          </cell>
          <cell r="D39" t="str">
            <v>Na aba, "Inspeções e Protocolos" em protocolo localizar o número do protocolo em tramitação e incluir.</v>
          </cell>
          <cell r="E39" t="str">
            <v>Na aba "Evolução", alterar a evolução e incluir Usuário para Encaminhamento, localizar o código do fiscal da região. </v>
          </cell>
          <cell r="F39" t="str">
            <v>Na aba, anexo, incluir o Termo de Responsabilidade Técnica do Estabelecimento.</v>
          </cell>
          <cell r="G39" t="str">
            <v>Salvar.</v>
          </cell>
          <cell r="H39" t="str">
            <v>*</v>
          </cell>
          <cell r="I39" t="str">
            <v>*</v>
          </cell>
          <cell r="J39" t="str">
            <v>*</v>
          </cell>
          <cell r="K39" t="str">
            <v>*</v>
          </cell>
          <cell r="L39" t="str">
            <v>*</v>
          </cell>
          <cell r="M39" t="str">
            <v>*</v>
          </cell>
          <cell r="N39" t="str">
            <v>*</v>
          </cell>
          <cell r="O39" t="str">
            <v>*</v>
          </cell>
          <cell r="P39" t="str">
            <v>*</v>
          </cell>
        </row>
        <row r="40">
          <cell r="A40" t="str">
            <v>TRAMITAÇÃO DO PROTOCOLO PARA CONFERÊNCIA</v>
          </cell>
          <cell r="B40" t="str">
            <v>Ao final do procedimento alterar o CÓDIGO DA OCORRÊNCIA conforme o tipo de processo analisado (359 - INGRESSO RESP. TÉC/ 358 - ALT. HORÁRIO/ 16 - REGISTRO).</v>
          </cell>
          <cell r="C40" t="str">
            <v>Evoluir:  Local da evolução: 45 – SITUAÇÃO: 01 – JULGAMENTO: 27 – USUÁRIO DE ENCAMINHAMENTO (Nº do cadastro do colaborador conferente).</v>
          </cell>
          <cell r="D40" t="str">
            <v>*</v>
          </cell>
          <cell r="E40" t="str">
            <v>*</v>
          </cell>
          <cell r="F40" t="str">
            <v>*</v>
          </cell>
          <cell r="G40" t="str">
            <v>*</v>
          </cell>
          <cell r="H40" t="str">
            <v>*</v>
          </cell>
          <cell r="I40" t="str">
            <v>*</v>
          </cell>
          <cell r="J40" t="str">
            <v>*</v>
          </cell>
          <cell r="K40" t="str">
            <v>*</v>
          </cell>
          <cell r="L40" t="str">
            <v>*</v>
          </cell>
          <cell r="M40" t="str">
            <v>*</v>
          </cell>
          <cell r="N40" t="str">
            <v>*</v>
          </cell>
          <cell r="O40" t="str">
            <v>*</v>
          </cell>
          <cell r="P40" t="str">
            <v>*</v>
          </cell>
        </row>
        <row r="42">
          <cell r="A42" t="str">
            <v>ARMAZENADORA DE MEDICAMENTOS E PRODUTOS PARA SAÚDE</v>
          </cell>
          <cell r="B42" t="str">
            <v>ARMAZENADORA DE MEDICAMENTOS E PRODUTOS PARA SAÚDE</v>
          </cell>
          <cell r="C42" t="str">
            <v>30 DIAS</v>
          </cell>
          <cell r="D42" t="str">
            <v>Assistência farmacêutica durante todo o horário de funcionamento do estabelecimento.</v>
          </cell>
          <cell r="E42"/>
        </row>
        <row r="43">
          <cell r="A43" t="str">
            <v>BANCO DE LEITE HUMANO</v>
          </cell>
          <cell r="B43" t="str">
            <v>BANCO DE LEITE HUMANO</v>
          </cell>
          <cell r="C43" t="str">
            <v>NÃO HÁ PRAZO</v>
          </cell>
          <cell r="D43" t="str">
            <v>O profissional que não declarar horário deverá possuir disponibilidade para todo o período de funcionamento, conforme ocorre com o laboratório de análises clínicas.</v>
          </cell>
          <cell r="E43"/>
        </row>
        <row r="44">
          <cell r="A44" t="str">
            <v>CENTRAL DE ABASTECIMENTO FARMACÊUTICO</v>
          </cell>
          <cell r="B44" t="str">
            <v>SIMILAR A DISTRIBUIDORA DE MEDICAMENTOS</v>
          </cell>
          <cell r="C44" t="str">
            <v>30 DIAS</v>
          </cell>
          <cell r="D44" t="str">
            <v>Assistência farmacêutica durante todo o horário de funcionamento do estabelecimento.</v>
          </cell>
          <cell r="E44"/>
        </row>
        <row r="45">
          <cell r="A45" t="str">
            <v>CLÍNICA DE SERVIÇOS DE VACINAÇÃO</v>
          </cell>
          <cell r="B45" t="str">
            <v>CLÍNICAS FARMACÊUTICAS</v>
          </cell>
          <cell r="C45" t="str">
            <v>NÃO HÁ PRAZO</v>
          </cell>
          <cell r="D45" t="str">
            <v>Não há exigência de carga horária mínima. O profissional pode optar por declarar ou não sua assistência; caso não a declare, deverá possuir disponibilidade para todo o horário de funcionamento.</v>
          </cell>
          <cell r="E45"/>
        </row>
        <row r="46">
          <cell r="A46" t="str">
            <v>CLÍNICA ESTÉTICA</v>
          </cell>
          <cell r="B46" t="str">
            <v>CLÍNICAS FARMACÊUTICAS</v>
          </cell>
          <cell r="C46" t="str">
            <v>NÃO HÁ PRAZO</v>
          </cell>
          <cell r="D46" t="str">
            <v>Não há exigência de carga horária mínima. O profissional pode optar por declarar ou não sua assistência; caso não a declare, deverá possuir disponibilidade para todo o horário de funcionamento.</v>
          </cell>
          <cell r="E46"/>
        </row>
        <row r="47">
          <cell r="A47" t="str">
            <v>CONSULTÓRIO FARMACÊUTICO</v>
          </cell>
          <cell r="B47" t="str">
            <v>CONSULTÓRIO FARMACÊUTICO</v>
          </cell>
          <cell r="C47" t="str">
            <v>NÃO HÁ PRAZO</v>
          </cell>
          <cell r="D47" t="str">
            <v>Não há exigência de carga horária mínima. O profissional pode optar por declarar ou não sua assistência.</v>
          </cell>
          <cell r="E47"/>
        </row>
        <row r="48">
          <cell r="A48" t="str">
            <v>CONTROLE DE VETORES E PRAGAS URBANAS</v>
          </cell>
          <cell r="B48" t="str">
            <v>OUTROS ESTABELECIMENTOS / DESINSETIZADORA</v>
          </cell>
          <cell r="C48" t="str">
            <v>NÃO HÁ PRAZO</v>
          </cell>
          <cell r="D48" t="str">
            <v>Assistência de, no mínimo, 2 horas diárias, de segunda a sexta-feira.</v>
          </cell>
          <cell r="E48"/>
        </row>
        <row r="49">
          <cell r="A49" t="str">
            <v>DISTRIBUIDOR/IMPORTADOR DE MEDICAMENTOS, COSMÉTICOS, PRODUTOS DE HIGIENE PESSOAL</v>
          </cell>
          <cell r="B49" t="str">
            <v>DISTRIBUIDORA MEDICAMENTOS</v>
          </cell>
          <cell r="C49" t="str">
            <v>30 DIAS</v>
          </cell>
          <cell r="D49" t="str">
            <v>Assistência farmacêutica durante todo o horário de funcionamento do estabelecimento.</v>
          </cell>
          <cell r="E49"/>
        </row>
        <row r="50">
          <cell r="A50" t="str">
            <v>DISTRIBUIDOR/IMPORTADOR/EXPORTADOR DE COSMÉTICO</v>
          </cell>
          <cell r="B50" t="str">
            <v xml:space="preserve"> DISTRIBUIDORA DE CORRELATOS</v>
          </cell>
          <cell r="C50" t="str">
            <v>30 DIAS</v>
          </cell>
          <cell r="D50" t="str">
            <v>Não há exigência de carga horária mínima. O profissional pode optar por declarar ou não sua assistência; caso não a declare, deverá possuir disponibilidade para todo o horário de funcionamento.</v>
          </cell>
          <cell r="E50"/>
        </row>
        <row r="51">
          <cell r="A51" t="str">
            <v>DISTRIBUIDOR/IMPORTADOR/EXPORTADOR DE PRODUTOS PARA SAÚDE</v>
          </cell>
          <cell r="B51" t="str">
            <v>DISTRIBUIDORA DE CORRELATOS</v>
          </cell>
          <cell r="C51" t="str">
            <v>30 DIAS</v>
          </cell>
          <cell r="D51" t="str">
            <v>Não há exigência de carga horária mínima. O profissional pode optar por declarar ou não sua assistência; caso não a declare, deverá possuir disponibilidade para todo o horário de funcionamento.</v>
          </cell>
          <cell r="E51"/>
        </row>
        <row r="52">
          <cell r="A52" t="str">
            <v>DISTRIBUIDOR/IMPORTADOR/EXPORTADOR DE MEDICAMENTOS</v>
          </cell>
          <cell r="B52" t="str">
            <v>DISTRIBUIDORA MEDICAMENTOS</v>
          </cell>
          <cell r="C52" t="str">
            <v>30 DIAS</v>
          </cell>
          <cell r="D52" t="str">
            <v>Assistência farmacêutica durante todo o horário de funcionamento do estabelecimento.</v>
          </cell>
          <cell r="E52"/>
        </row>
        <row r="53">
          <cell r="A53" t="str">
            <v>EMPRESA ARMAZENADORA DE CORRELATOS</v>
          </cell>
          <cell r="B53" t="str">
            <v>EMPRESA ARMAZENADORA DE CORRELATOS</v>
          </cell>
          <cell r="C53" t="str">
            <v>30 DIAS</v>
          </cell>
          <cell r="D53" t="str">
            <v>Não há exigência de carga horária mínima. O profissional pode optar por declarar ou não sua assistência; caso não a declare, deverá possuir disponibilidade para todo o horário de funcionamento.</v>
          </cell>
          <cell r="E53"/>
        </row>
        <row r="54">
          <cell r="A54" t="str">
            <v>EMPRESA ARMAZENADORA DE MEDICAMENTOS</v>
          </cell>
          <cell r="B54" t="str">
            <v>EMPRESA ARMAZENADORA DE MEDICAMENTOS</v>
          </cell>
          <cell r="C54" t="str">
            <v>30 DIAS</v>
          </cell>
          <cell r="D54" t="str">
            <v>Assistência farmacêutica durante todo o horário de funcionamento do estabelecimento.</v>
          </cell>
          <cell r="E54"/>
        </row>
        <row r="55">
          <cell r="A55" t="str">
            <v>ERVANARIA</v>
          </cell>
          <cell r="B55" t="str">
            <v xml:space="preserve"> FARMÁCIA HOSPITALAR OU EQUIVALENTE</v>
          </cell>
          <cell r="C55" t="str">
            <v>30 DIAS**</v>
          </cell>
          <cell r="D55" t="str">
            <v>Assistência farmacêutica durante todo o horário de funcionamento da farmácia hospitalar. Para estabelecimentos privativos com menos de 50 leitos, não há obrigatoriedade de assistência integral.</v>
          </cell>
          <cell r="E55"/>
        </row>
        <row r="56">
          <cell r="A56" t="str">
            <v>FARMÁCIA COM MANIPULAÇÃO</v>
          </cell>
          <cell r="B56" t="str">
            <v>FARMÁCIA COM MANIPULAÇÃO</v>
          </cell>
          <cell r="C56" t="str">
            <v>NÃO HÁ PRAZO</v>
          </cell>
          <cell r="D56" t="str">
            <v>Assistência farmacêutica durante todo o horário de funcionamento do estabelecimento.</v>
          </cell>
          <cell r="E56"/>
        </row>
        <row r="57">
          <cell r="A57" t="str">
            <v>FARMÁCIA COM MANIPULAÇÃO ALOPÁTICA E HOMEOPÁTICA</v>
          </cell>
          <cell r="B57" t="str">
            <v>FARMÁCIA COM MANIPULAÇÃO ALOPÁTICA E HOMEOPÁTICA</v>
          </cell>
          <cell r="C57" t="str">
            <v>NÃO HÁ PRAZO</v>
          </cell>
          <cell r="D57" t="str">
            <v>Assistência farmacêutica durante todo o horário de funcionamento do estabelecimento.</v>
          </cell>
          <cell r="E57"/>
        </row>
        <row r="58">
          <cell r="A58" t="str">
            <v>FARMÁCIA DE ASSISTÊNCIA DOMICILIAR</v>
          </cell>
          <cell r="B58" t="str">
            <v xml:space="preserve"> FARMÁCIA HOSPITALAR OU EQUIVALENTE</v>
          </cell>
          <cell r="C58" t="str">
            <v>30 DIAS**</v>
          </cell>
          <cell r="D58" t="str">
            <v>Assistência farmacêutica durante todo o horário de funcionamento da farmácia hospitalar. Para estabelecimentos privativos com menos de 50 leitos, não há obrigatoriedade de assistência integral.</v>
          </cell>
          <cell r="E58"/>
        </row>
        <row r="59">
          <cell r="A59" t="str">
            <v>FARMÁCIA EQUIVALENTE A HOSPITALAR</v>
          </cell>
          <cell r="B59" t="str">
            <v>FARMÁCIA EQUIVALENTE A HOSPITALAR</v>
          </cell>
          <cell r="C59" t="str">
            <v>30 DIAS**</v>
          </cell>
          <cell r="D59" t="str">
            <v>Assistência farmacêutica durante todo o horário de funcionamento da farmácia hospitalar. Para estabelecimentos privativos com menos de 50 leitos, não há obrigatoriedade de assistência integral.</v>
          </cell>
          <cell r="E59"/>
        </row>
        <row r="60">
          <cell r="A60" t="str">
            <v>FARMÁCIA HOMEOPÁTICA</v>
          </cell>
          <cell r="B60" t="str">
            <v>FARMÁCIA DE DISPENSAÇÃO COM MANIPULAÇÃO</v>
          </cell>
          <cell r="C60" t="str">
            <v>NÃO HÁ PRAZO</v>
          </cell>
          <cell r="D60" t="str">
            <v>Assistência farmacêutica durante todo o horário de funcionamento do estabelecimento.</v>
          </cell>
          <cell r="E60"/>
        </row>
        <row r="61">
          <cell r="A61" t="str">
            <v>FARMÁCIA HOSPITALAR</v>
          </cell>
          <cell r="B61" t="str">
            <v>FARMÁCIA HOSPITALAR</v>
          </cell>
          <cell r="C61" t="str">
            <v>30 DIAS**</v>
          </cell>
          <cell r="D61" t="str">
            <v>Assistência farmacêutica durante todo o horário de funcionamento da farmácia hospitalar. Para estabelecimentos privativos com menos de 50 leitos, não há obrigatoriedade de assistência integral.</v>
          </cell>
          <cell r="E61"/>
        </row>
        <row r="62">
          <cell r="A62" t="str">
            <v>FARMÁCIA PRIVATIVA DE EMPRESA OU ASSOCIAÇAO</v>
          </cell>
          <cell r="B62" t="str">
            <v xml:space="preserve"> FARMÁCIA DE DISPENSAÇÃO SEM MANIPULAÇÃO E DROGARIA</v>
          </cell>
          <cell r="C62" t="str">
            <v>30 DIAS</v>
          </cell>
          <cell r="D62" t="str">
            <v>Assistência farmacêutica durante todo o horário de funcionamento do estabelecimento.</v>
          </cell>
          <cell r="E62"/>
        </row>
        <row r="63">
          <cell r="A63" t="str">
            <v>FARMÁCIA SEM MANIPULAÇÃO OU DROGARIA</v>
          </cell>
          <cell r="B63" t="str">
            <v>FARMÁCIA SEM MANIPULAÇÃO OU DROGARIA</v>
          </cell>
          <cell r="C63" t="str">
            <v>30 DIAS</v>
          </cell>
          <cell r="D63" t="str">
            <v>Assistência farmacêutica durante todo o horário de funcionamento do estabelecimento.</v>
          </cell>
          <cell r="E63" t="str">
            <v>.</v>
          </cell>
        </row>
        <row r="64">
          <cell r="A64" t="str">
            <v>IMPORTADOR/EXPORTADOR DE MEDICAMENTOS</v>
          </cell>
          <cell r="B64" t="str">
            <v>DISTRIBUIDORA MEDICAMENTOS</v>
          </cell>
          <cell r="C64" t="str">
            <v>30 DIAS</v>
          </cell>
          <cell r="D64" t="str">
            <v>Assistência farmacêutica durante todo o horário de funcionamento do estabelecimento.</v>
          </cell>
          <cell r="E64"/>
        </row>
        <row r="65">
          <cell r="A65" t="str">
            <v>IMPORTADOR/EXPORTADOR DE PRODUTOS PARA SAÚDE</v>
          </cell>
          <cell r="B65" t="str">
            <v xml:space="preserve"> DISTRIBUIDORA DE CORRELATOS</v>
          </cell>
          <cell r="C65" t="str">
            <v>30 DIAS</v>
          </cell>
          <cell r="D65" t="str">
            <v>Não há exigência de carga horária mínima. O profissional pode optar por declarar ou não sua assistência; caso não a declare, deverá possuir disponibilidade para todo o horário de funcionamento.</v>
          </cell>
          <cell r="E65"/>
        </row>
        <row r="66">
          <cell r="A66" t="str">
            <v>INDÚSTRIA DE ALIMENTOS</v>
          </cell>
          <cell r="B66" t="str">
            <v>INDÚSTRIA DE MEDICAMENTOS E OUTRAS INDÚSTRIAS</v>
          </cell>
          <cell r="C66" t="str">
            <v>NÃO HÁ PRAZO</v>
          </cell>
          <cell r="D66" t="str">
            <v>Assistência integral durante todo o horário de produção declarado.</v>
          </cell>
          <cell r="E66"/>
        </row>
        <row r="67">
          <cell r="A67" t="str">
            <v>INDÚSTRIA DE ALIMENTOS FUNCIONAIS/ESPECIAIS</v>
          </cell>
          <cell r="B67" t="str">
            <v>INDÚSTRIA DE MEDICAMENTOS E OUTRAS INDÚSTRIAS</v>
          </cell>
          <cell r="C67" t="str">
            <v>NÃO HÁ PRAZO</v>
          </cell>
          <cell r="D67" t="str">
            <v>Assistência integral durante todo o horário de produção declarado.</v>
          </cell>
          <cell r="E67"/>
        </row>
        <row r="68">
          <cell r="A68" t="str">
            <v>INDÚSTRIA DE COSMÉTICOS/PERFUMARIA</v>
          </cell>
          <cell r="B68" t="str">
            <v>INDÚSTRIA DE MEDICAMENTOS E OUTRAS INDÚSTRIAS</v>
          </cell>
          <cell r="C68" t="str">
            <v>NÃO HÁ PRAZO</v>
          </cell>
          <cell r="D68" t="str">
            <v>Assistência integral durante todo o horário de produção declarado.</v>
          </cell>
          <cell r="E68"/>
        </row>
        <row r="69">
          <cell r="A69" t="str">
            <v>INDÚSTRIA DE INSUMOS</v>
          </cell>
          <cell r="B69" t="str">
            <v>INDÚSTRIA DE MEDICAMENTOS E OUTRAS INDÚSTRIAS</v>
          </cell>
          <cell r="C69" t="str">
            <v>NÃO HÁ PRAZO</v>
          </cell>
          <cell r="D69" t="str">
            <v>Assistência integral durante todo o horário de produção declarado.</v>
          </cell>
          <cell r="E69"/>
        </row>
        <row r="70">
          <cell r="A70" t="str">
            <v>INDÚSTRIA DE MEDICAMENTOS E OUTRAS INDÚSTRIAS</v>
          </cell>
          <cell r="B70" t="str">
            <v xml:space="preserve"> INDÚSTRIA DE MEDICAMENTOS E OUTRAS INDÚSTRIAS</v>
          </cell>
          <cell r="C70" t="str">
            <v>NÃO HÁ PRAZO</v>
          </cell>
          <cell r="D70" t="str">
            <v>Assistência integral durante todo o horário de produção declarado.</v>
          </cell>
          <cell r="E70"/>
        </row>
        <row r="71">
          <cell r="A71" t="str">
            <v>INDÚSTRIA DE PRODUTOS FARMACOPEICOS/FITOTERÁPICOS</v>
          </cell>
          <cell r="B71" t="str">
            <v>INDÚSTRIA DE MEDICAMENTOS E OUTRAS INDÚSTRIAS</v>
          </cell>
          <cell r="C71" t="str">
            <v>NÃO HÁ PRAZO</v>
          </cell>
          <cell r="D71" t="str">
            <v>Assistência integral durante todo o horário de produção declarado.</v>
          </cell>
          <cell r="E71"/>
        </row>
        <row r="72">
          <cell r="A72" t="str">
            <v>INDÚSTRIA DE PRODUTOS PARA SAÚDE</v>
          </cell>
          <cell r="B72" t="str">
            <v xml:space="preserve"> INDÚSTRIA DE MEDICAMENTOS E OUTRAS INDÚSTRIAS</v>
          </cell>
          <cell r="C72" t="str">
            <v>NÃO HÁ PRAZO</v>
          </cell>
          <cell r="D72" t="str">
            <v>Assistência integral durante todo o horário de produção declarado.</v>
          </cell>
          <cell r="E72"/>
        </row>
        <row r="73">
          <cell r="A73" t="str">
            <v>INDÚSTRIA DE SANEANTES</v>
          </cell>
          <cell r="B73" t="str">
            <v>INDÚSTRIA DE MEDICAMENTOS E OUTRAS INDÚSTRIAS</v>
          </cell>
          <cell r="C73" t="str">
            <v>NÃO HÁ PRAZO</v>
          </cell>
          <cell r="D73" t="str">
            <v>Assistência integral durante todo o horário de produção declarado.</v>
          </cell>
          <cell r="E73"/>
        </row>
        <row r="74">
          <cell r="A74" t="str">
            <v>INDÚSTRIA FARMACÊUTICA HOMEOPÁTICA</v>
          </cell>
          <cell r="B74" t="str">
            <v>INDÚSTRIA DE MEDICAMENTOS E OUTRAS INDÚSTRIAS</v>
          </cell>
          <cell r="C74" t="str">
            <v>NÃO HÁ PRAZO</v>
          </cell>
          <cell r="D74" t="str">
            <v>Assistência integral durante todo o horário de produção declarado.</v>
          </cell>
          <cell r="E74"/>
        </row>
        <row r="75">
          <cell r="A75" t="str">
            <v>LABORATÓRIO DE ANÁLISES CLÍNICAS</v>
          </cell>
          <cell r="B75" t="str">
            <v>LABORATÓRIO DE ANÁLISES CLÍNICAS</v>
          </cell>
          <cell r="C75" t="str">
            <v>NÃO HÁ PRAZO</v>
          </cell>
          <cell r="D75" t="str">
            <v>O profissional não deve declarar sua assistência; e deverá possuir disponibilidade para todo o horário de funcionamento.</v>
          </cell>
          <cell r="E75"/>
        </row>
        <row r="76">
          <cell r="A76" t="str">
            <v>LABORATÓRIO DE AGÊNCIA TRANSFUSIONAL</v>
          </cell>
          <cell r="B76" t="str">
            <v>LABORATÓRIO DE ANÁLISES CLÍNICAS</v>
          </cell>
          <cell r="C76" t="str">
            <v>NÃO HÁ PRAZO</v>
          </cell>
          <cell r="D76" t="str">
            <v>O profissional não deve declarar sua assistência; e deverá possuir disponibilidade para todo o horário de funcionamento.</v>
          </cell>
          <cell r="E76"/>
        </row>
        <row r="77">
          <cell r="A77" t="str">
            <v>LABORATÓRIO DE CONTROLE DE QUALIDADE</v>
          </cell>
          <cell r="B77" t="str">
            <v>LABORATÓRIO INDUSTRIAL</v>
          </cell>
          <cell r="C77" t="str">
            <v>NÃO HÁ PRAZO</v>
          </cell>
          <cell r="D77" t="str">
            <v>Assistência integral durante todo o horário de produção declarado.</v>
          </cell>
          <cell r="E77"/>
        </row>
        <row r="78">
          <cell r="A78" t="str">
            <v>LABORATÓRIO DE CONTROLE DE QUALIDADE/ANÁLISES BROMATOLÓGICAS</v>
          </cell>
          <cell r="B78" t="str">
            <v>OUTROS LABORATÓRIOS</v>
          </cell>
          <cell r="C78" t="str">
            <v>NÃO HÁ PRAZO</v>
          </cell>
          <cell r="D78" t="str">
            <v>O profissional não declara horário e deve possuir disponibilidade para todo o período de funcionamento.</v>
          </cell>
          <cell r="E78"/>
        </row>
        <row r="79">
          <cell r="A79" t="str">
            <v>LABORATÓRIO DE ESTERILIZAÇÃO</v>
          </cell>
          <cell r="B79" t="str">
            <v>LABORATÓRIO INDUSTRIAL</v>
          </cell>
          <cell r="C79" t="str">
            <v>NÃO HÁ PRAZO</v>
          </cell>
          <cell r="D79" t="str">
            <v>Assistência integral durante todo o horário de produção declarado.</v>
          </cell>
          <cell r="E79"/>
        </row>
        <row r="80">
          <cell r="A80" t="str">
            <v>LABORATÓRIO DE PESQUISA</v>
          </cell>
          <cell r="B80" t="str">
            <v>LABORATÓRIO INDUSTRIAL</v>
          </cell>
          <cell r="C80" t="str">
            <v>NÃO HÁ PRAZO</v>
          </cell>
          <cell r="D80" t="str">
            <v>Assistência integral durante todo o horário de produção declarado.</v>
          </cell>
          <cell r="E80"/>
        </row>
        <row r="81">
          <cell r="A81" t="str">
            <v>LABORATÓRIO DE PESQUISA/DESENVOLVIMENTO DE MEDICAMENTOS</v>
          </cell>
          <cell r="B81" t="str">
            <v>LABORATÓRIO INDUSTRIAL</v>
          </cell>
          <cell r="C81" t="str">
            <v>NÃO HÁ PRAZO</v>
          </cell>
          <cell r="D81" t="str">
            <v>Assistência integral durante todo o horário de produção declarado.</v>
          </cell>
          <cell r="E81"/>
        </row>
        <row r="82">
          <cell r="A82" t="str">
            <v>LABORATÓRIO INDUSTRIAL</v>
          </cell>
          <cell r="B82" t="str">
            <v>LABORATÓRIO INDUSTRIAL</v>
          </cell>
          <cell r="C82" t="str">
            <v>NÃO HÁ PRAZO</v>
          </cell>
          <cell r="D82" t="str">
            <v>Assistência integral durante todo o horário de produção declarado.</v>
          </cell>
          <cell r="E82"/>
        </row>
        <row r="83">
          <cell r="A83" t="str">
            <v>NASF</v>
          </cell>
          <cell r="B83" t="str">
            <v>CONSULTÓRIOS FARMACÊUTICOS</v>
          </cell>
          <cell r="C83" t="str">
            <v>NÃO HÁ PRAZO</v>
          </cell>
          <cell r="D83" t="str">
            <v>Não há exigência de carga horária mínima. O profissional pode optar por declarar ou não sua assistência.</v>
          </cell>
          <cell r="E83"/>
        </row>
        <row r="84">
          <cell r="A84" t="str">
            <v>OPERADOR LOGÍSTICO</v>
          </cell>
          <cell r="B84" t="str">
            <v>DISTRIBUIDORA DE MEDICAMENTOS OU CORRELATOS</v>
          </cell>
          <cell r="C84" t="str">
            <v>30 DIAS</v>
          </cell>
          <cell r="D84" t="str">
            <v>Caso haja medicamentos, a assistência deverá ocorrer durante todo o horário de funcionamento. Caso não haja medicamentos, não há carga horária mínima, podendo o profissional declarar ou não sua assistência, desde que possua disponibilidade de horário.</v>
          </cell>
          <cell r="E84"/>
        </row>
        <row r="85">
          <cell r="A85" t="str">
            <v>OUTRAS DISTRIBUIDORAS</v>
          </cell>
          <cell r="B85" t="str">
            <v>DISTRIBUIDORA DE MEDICAMENTOS OU CORRELATOS</v>
          </cell>
          <cell r="C85" t="str">
            <v>30 DIAS</v>
          </cell>
          <cell r="D85" t="str">
            <v>Caso haja medicamentos, a assistência deverá ocorrer durante todo o horário de funcionamento. Caso não haja medicamentos, não há carga horária mínima, podendo o profissional declarar ou não sua assistência, desde que possua disponibilidade de horário.</v>
          </cell>
          <cell r="E85"/>
        </row>
        <row r="86">
          <cell r="A86" t="str">
            <v>OUTRAS INDÚSTRIAS</v>
          </cell>
          <cell r="B86" t="str">
            <v>OUTRAS INDÚSTRIAS</v>
          </cell>
          <cell r="C86" t="str">
            <v>NÃO HÁ PRAZO</v>
          </cell>
          <cell r="D86" t="str">
            <v>Assistência integral durante todo o horário de produção declarado.</v>
          </cell>
          <cell r="E86"/>
        </row>
        <row r="87">
          <cell r="A87" t="str">
            <v>OUTROS LABORATÓRIOS</v>
          </cell>
          <cell r="B87" t="str">
            <v>NÃO CLASSIFICADOS COMO LAB. DE ANALISES CLÍNICAS DE ROTINA</v>
          </cell>
          <cell r="C87" t="str">
            <v>NÃO HÁ PRAZO</v>
          </cell>
          <cell r="D87" t="str">
            <v>O profissional não declara horário e deverá possuir disponibilidade para todo o período de funcionamento.</v>
          </cell>
          <cell r="E87"/>
        </row>
        <row r="88">
          <cell r="A88" t="str">
            <v>POSTO DE COLETA</v>
          </cell>
          <cell r="B88" t="str">
            <v>POSTO DE COLETA</v>
          </cell>
          <cell r="C88" t="str">
            <v>NÃO HÁ PRAZO</v>
          </cell>
          <cell r="D88" t="str">
            <v>O profissional não declara horário e deverá possuir disponibilidade para todo o período de funcionamento.</v>
          </cell>
          <cell r="E88"/>
        </row>
        <row r="89">
          <cell r="A89" t="str">
            <v>PRESTAÇÃO DE SERVIÇOS FARMACÊUTICOS</v>
          </cell>
          <cell r="B89" t="str">
            <v>PRESTADORA DE SERVIÇOS</v>
          </cell>
          <cell r="C89" t="str">
            <v>NÃO HÁ PRAZO</v>
          </cell>
          <cell r="D89" t="str">
            <v>Não há exigência de carga horária mínima. O profissional pode optar por declarar ou não sua assistência.</v>
          </cell>
          <cell r="E89"/>
        </row>
        <row r="90">
          <cell r="A90" t="str">
            <v>SERVIÇO DE ACUPUNTURA</v>
          </cell>
          <cell r="B90" t="str">
            <v>CONSULTÓRIOS FARMACÊUTICOS</v>
          </cell>
          <cell r="C90" t="str">
            <v>NÃO HÁ PRAZO</v>
          </cell>
          <cell r="D90" t="str">
            <v>Não há exigência de carga horária mínima. O profissional pode optar por declarar ou não sua assistência.</v>
          </cell>
          <cell r="E90"/>
        </row>
        <row r="91">
          <cell r="A91" t="str">
            <v>SERVIÇO DE HEMOTERAPIA/BANCO DE SANGUE</v>
          </cell>
          <cell r="B91" t="str">
            <v>LABORATÓRIO DE ANÁLISES CLÍNICAS</v>
          </cell>
          <cell r="C91" t="str">
            <v>NÃO HÁ PRAZO</v>
          </cell>
          <cell r="D91" t="str">
            <v>O profissional não declara horário e deverá possuir disponibilidade para todo o período de funcionamento.</v>
          </cell>
          <cell r="E91"/>
        </row>
        <row r="92">
          <cell r="A92" t="str">
            <v>TRANSPORTADORA</v>
          </cell>
          <cell r="B92" t="str">
            <v>TRANSPORTADORA</v>
          </cell>
          <cell r="C92" t="str">
            <v>30 DIAS</v>
          </cell>
          <cell r="D92" t="str">
            <v>Assistência de, no mínimo, 4 horas diárias contínuas, de segunda a sexta-feira, compreendidas entre 5h e 22h.</v>
          </cell>
          <cell r="E92"/>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1"/>
    </sheetNames>
    <sheetDataSet>
      <sheetData sheetId="0">
        <row r="1">
          <cell r="A1" t="str">
            <v>SOLICITAÇÃO DE CORREÇÃO</v>
          </cell>
          <cell r="B1" t="str">
            <v>Documentação incorreta ou incompleta.
Enviar/anexar no prazo de 01 dia útil acessando a tela inicial do CRF/PR em Casa, no atalho dos menus mais utilizados, em Protocolos, no ícone de "Protocolos Aguardando Resposta":
Alertamos que documentos enviados errados ou não enviados dentro do prazo estará sujeito ao indeferimento com necessidade de reinício do procedimento</v>
          </cell>
        </row>
        <row r="2">
          <cell r="A2" t="str">
            <v>INDEFERIMENTO</v>
          </cell>
          <cell r="B2" t="str">
            <v>Procedimento indeferido, pois os documentos exigidos não foram enviados no prazo solicitado. 
**POR FAVOR, REINICIAR O PROCEDIMENTO VIA CRF EM CASA REENCAMINHANDO TODA A DOCUMENTAÇÃO, JUNTAMENTE COM A CORREÇÃO SOLICITADA.**
Ficou pendente:</v>
          </cell>
        </row>
        <row r="3">
          <cell r="A3" t="str">
            <v>ARQUIVAMENTO PROTOCOLO DUPLICADO</v>
          </cell>
          <cell r="B3" t="str">
            <v>Procedimento arquivado tendo em vista o requerimento ter ocorrido em mais de um protocolo. O procedimento será realizado OU foi finalizado por meio do protocolo n.° XXXXXXXX.</v>
          </cell>
        </row>
        <row r="4">
          <cell r="A4" t="str">
            <v>ARQUIVAMENTO EMPRESA INCORRETA</v>
          </cell>
          <cell r="B4" t="str">
            <v>**Protocolo arquivado**
Documentos apresentados são referentes a outro estabelecimento. Favor reiniciar o procedimento reencaminhando toda a documentação no estabelecimento correto, de inscrição nº (caso tenha o CNPJ e seja fácil a consulta)</v>
          </cell>
        </row>
        <row r="5">
          <cell r="A5" t="str">
            <v>ARQUIVAMENTO RESPOSTA DE CORREÇÃO</v>
          </cell>
          <cell r="B5" t="str">
            <v>**Protocolo arquivado**
Procedimento finalizado por meio do protocolo de nº XXXXXXXX
Por favor, não criar um novo protocolo. A correção deve ser enviada em resposta ao protocolo já criado anteriormente. No CRF em Casa, no atalho dos menus mais utilizados, em protocolos, acesse o ícone "Protocolos Aguardando Resposta", selecione o protocolo e anexe os documentos solicitados.</v>
          </cell>
        </row>
        <row r="6">
          <cell r="A6" t="str">
            <v>FORMULÁRIOS - REQUERIMENTO DO ESTABELECIMENTO</v>
          </cell>
          <cell r="B6" t="str">
            <v>Requerimento deve informar o horário de funcionamento do estabelecimento. Deverá ser gerado pelo farmacêutico Diretor Técnico via e-Form, utilizando o CPF e a senha de acesso do CRF-PR em Casa. Acesso ao e-Form: https://servicos.crf-pr.org.br/</v>
          </cell>
        </row>
        <row r="7">
          <cell r="A7" t="str">
            <v>FORMULÁRIOS - TERMO DE COMPROMISSO</v>
          </cell>
          <cell r="B7" t="str">
            <v>Termo de Compromisso do farmacêutico requerente: cada profissional que está ingressando ou alterando horários/modalidade deve gerar o seu termo. Acesso ao e-Form: https://servicos.crf-pr.org.br/</v>
          </cell>
        </row>
        <row r="8">
          <cell r="A8" t="str">
            <v>FORMULÁRIOS - FORMULÁRIOS ANTIGOS</v>
          </cell>
          <cell r="B8" t="str">
            <v>Formulários apresentados estão datados de __/__/2025. Deverão apresentar novo Requerimento do Estabelecimento e/ou Temo de Compromisso atualizados, com data de no máximo 30 dias de antecedência do protocolo, gerados pelo e-Form 
Acesso ao e-Form: https://servicos.crf-pr.org.br/</v>
          </cell>
        </row>
        <row r="9">
          <cell r="A9" t="str">
            <v>VÍNCULO DE TRABALHO - SEM APRESENTAR DOCUMENTOS (COMPLEMENTAR COM UMA OPÇÃO ABAIXO)</v>
          </cell>
          <cell r="B9" t="str">
            <v>Pode ser apresentado, alternativamente:
a)	Carteira de Trabalho
b)	Contrato de Prestação de Serviços + Alvará de Autônomo
c)	Contrato Social (caso o profissional seja sócio) 
d)	Servidor público: Portaria, Decreto ou Equivalente de nomeação, publicada em diário oficial do órgão interessado;</v>
          </cell>
        </row>
        <row r="10">
          <cell r="A10" t="str">
            <v>VÍNCULO DE TRABALHO - CTPS</v>
          </cell>
          <cell r="B10" t="str">
            <v>•	CTPS
 Caso seja CTPS Física: deverá enviar Página de identificação, Página de qualificação civil, Página de Registro do contrato preenchida e assinada pelo contratante.
 Caso seja CTPS Digital: deverá enviar o arquivo que contenha na mesma página os dados pessoais e o contrato ativo com o estabelecimento.
Orientações para emitir o documento da CTPS Digital:
a. Após acessar o aplicativo da Carteira de Trabalho Digital
b. Clique em Enviar Carteira de Trabalho Digital;
c. Clique no ícone “PDF” que aparece no canto inferior direito;
d. O aplicativo irá gerar um arquivo com os Dados Pessoais e o Contrato de Trabalho do profissional na mesma página.
e. Salve este arquivo em PDF.</v>
          </cell>
        </row>
        <row r="11">
          <cell r="A11" t="str">
            <v xml:space="preserve">VÍNCULO DE TRABALHO - CONTRATO </v>
          </cell>
          <cell r="B11" t="str">
            <v xml:space="preserve">•	CONTRATO
 - Contrato de prestação de serviço entre as partes, contendo: cargo de Farmacêutico, carga horária exercida e remuneração compatível com o piso da categoria.
- Alvará de Autônomo emitido pela Prefeitura Municipal
** Caso o Alvará de Autônomo esteja em emissão pela prefeitura, é possível a apresentação do protocolo da solicitação. Contudo, a emissão da Certidão de Regularidade fica condicionada ao recebimento posterior do Alvará de Autônomo. Nesse caso, deverá ser protocolado pelo profissional exclusivamente pelo CRF-PR Em Casa, em Serviços → Mais Serviços ao Profissional → Alvará de Autônomo (Web).
</v>
          </cell>
        </row>
        <row r="12">
          <cell r="A12" t="str">
            <v>VÍNCULO DE TRABALHO - CONTRATOS PÚBLICOS</v>
          </cell>
          <cell r="B12" t="str">
            <v>•	CONTRATOS PÚBLICOS
- A validade do contrato deve ter duração mínima de 3 meses. Solicitamos o envio do termo aditivo ou caso ainda não possuam, informamos que como a validade do contrato apresentado é inferior a 90 dias da data do protocolo, a emissão da CRT fica condicionada à apresentação de Termo Aditivo do Contrato.</v>
          </cell>
        </row>
        <row r="13">
          <cell r="A13" t="str">
            <v>VÍNCULO DE TRABALHO - ALVARÁ</v>
          </cell>
          <cell r="B13" t="str">
            <v>Como foi apresentado o Contrato de Trabalho/Prestação de Serviços, deverão apresentar o Alvará de Autônomo do profissional em complemento.
Caso o Alvará de Autônomo esteja em emissão pela prefeitura, é possível a apresentação do protocolo da solicitação. Contudo, a emissão da Certidão de Regularidade fica condicionada ao recebimento posterior do Alvará de Autônomo. Deverá ser protocolado pelo profissional exclusivamente pelo CRF-PR Em Casa, em Serviços → Mais Serviços ao Profissional → Alvará de Autônomo (Web).</v>
          </cell>
        </row>
        <row r="14">
          <cell r="A14" t="str">
            <v>VÍNCULO DE TRABALHO - E-Social</v>
          </cell>
          <cell r="B14" t="str">
            <v>Caso não tenha a CTPS Digital atualizada, solicitamos o envio do "Relatório dos DADOS CADASTRAIS OU CONTRATUAIS do E-SOCIAL". Este relatório deverá informar todos os dados cadastrais do profissional, informações do vínculo, informações do contrato de trabalho, que devem incluir CNPJ que exercerá as atividades, cargo, salário e horários.
Orientações para emitir o Relatório do E-Social:
a. No menu, selecione Empregado e depois Gestão de Empregados.
b. Consulte o empregado pelo CPF.
c. Selecione Dados Contratuais.
d. O relatório completo aparecerá na tela.
e. Solicite a impressão da página, utilizando o comando CTRL + P
f. Imprimir em PDF.</v>
          </cell>
        </row>
        <row r="15">
          <cell r="A15" t="str">
            <v>VÍNCULO DE TRABALHO - DECLARAÇÃO DE LOTAÇÃO</v>
          </cell>
          <cell r="B15" t="str">
            <v xml:space="preserve">Considerando que o registro do profissional não é diretamente com o estabelecimento, solicitamos o envio de uma Declaração de Lotação emitida pela empresa ____________ informando que o(a) profissional ____________ exercerá suas atividades na empresa ____________ (CNPJ: **.***.***/0000-01).
</v>
          </cell>
        </row>
        <row r="16">
          <cell r="A16" t="str">
            <v>VÍNCULO DE TRABALHO - MEI</v>
          </cell>
          <cell r="B16" t="str">
            <v xml:space="preserve">Não é permitido ao farmacêutico desempenhar suas funções como Microempreendedor Individual (MEI), conforme parágrafo único do art. 966 da Lei 10.406/2002. Além disso, a  atividade não consta na lista de ocupações permitidas disposta no Anexo XI da Resolução CGSN Nº 140/2018.
Sendo assim, deverá alterar a categoria da empresa ou apresentar um contrato entre pessoa física, contendo: cargo de Farmacêutico, carga horária exercida e remuneração compatível com o piso da categoria, além do Alvará de Autônomo </v>
          </cell>
        </row>
        <row r="17">
          <cell r="A17" t="str">
            <v>TRANSFERÊNCIAS - GRUPO ECONÔMICO</v>
          </cell>
          <cell r="B17" t="str">
            <v>Tendo em vista que o profissional está contratado por uma empresa do mesmo grupo econômico, deverão apresentar:
Carteira de Trabalho com a transferência para o CNPJ **.***.***/0000-01 OU o Extrato do e-Social completo (com data da alteração e dados da troca de CNPJ).
OU 
Contrato de prestação de serviços entre os estabelecimentos, juntamente com uma declaração de lotação redigida e assinada pela empresa contratante ____________ informando o local que o profissional exercerá suas atividades.
Modelo de Declaração de Lotação: 
"Qualificação do estabelecimento (Nome, endereço e CNPJ Matriz)... declara que o farmacêutico (Dados pessoais e nº inscrição CRF)... a partir da data __/__/__ passará a exercer suas atividades na seguinte empresa  (Nome, endereço completo e CNPJ da filial). 
Data, Local e Assinatura do Representante Legal do Estabelecimento"</v>
          </cell>
        </row>
        <row r="18">
          <cell r="A18" t="str">
            <v>TRANSFERÊNCIAS - FILIAIS</v>
          </cell>
          <cell r="B18" t="str">
            <v xml:space="preserve">No caso de transferência entre filiais, a transferência do profissional deve constar na CTPS.
Nos casos em que CTPS não atualizar imediatamente, poderá ser apresentado Relatório do E-social  - neste caso, já no CNPJ correto e com a transferência anotada no campo designado para tal.
</v>
          </cell>
        </row>
        <row r="19">
          <cell r="A19" t="str">
            <v>VÍNCULO ABERTO NA CTPS</v>
          </cell>
          <cell r="B19" t="str">
            <v xml:space="preserve">A Carteira de Trabalho do profissional ____________apresenta vínculo em aberto no(s) seguinte(s) estabelecimento(s): Razão Social ____________, CNPJ: **.***.***/0000-01
Caso não trabalhe mais no estabelecimento, deverá comprovar a quebra de vínculo. Poderá enviar foto do registro da CTPS Física que conste a data de saída e assinatura do empregador. Ou então, fazer uma declaração de próprio punho, informando que não possui mais vínculo com o estabelecimento (informar razão social e CNPJ), devendo estar assinada pelo profissional.
Caso ainda tenha vínculo, o estabelecimento citado acima deverá emitir uma declaração informando os dias da semana e os horários que o profissional exerce suas atividades. A declaração deverá estar devidamente assinada pelo representante legal do estabelecimento.
</v>
          </cell>
        </row>
        <row r="20">
          <cell r="A20" t="str">
            <v>DECLAROU OUTRAS ATIVIDADES</v>
          </cell>
          <cell r="B20" t="str">
            <v>Como a profissional informou no Termo de Compromisso que exerce outras atividades profissionais no(a) ____________ deverá apresentar uma Declaração deste estabelecimento assinada pelo representante legal, contendo o CNPJ e endereço, informando os dias e os horários nos quais ela realiza essas atividades.</v>
          </cell>
        </row>
        <row r="21">
          <cell r="A21" t="str">
            <v xml:space="preserve">SALÁRIO ABAIXO DO PISO </v>
          </cell>
          <cell r="B21" t="str">
            <v xml:space="preserve">Salário do profissional ____________ está abaixo do piso. O proporcional para X horas é de 
R$ X.XXX,00. Deverão apresentar o documento de contratação do profissional com a remuneração corrigida.
Resolução 724/22 CFF - Art. 18 - É proibido a todos os inscritos no CRF local aceitar ou pagar remuneração abaixo do estabelecido como o piso salarial oriundo de acordo, convenção coletiva ou dissídio de categoria, quando aplicável.
</v>
          </cell>
        </row>
        <row r="22">
          <cell r="A22" t="str">
            <v>ASSINATURA COLADA</v>
          </cell>
          <cell r="B22" t="str">
            <v>Em protocolos a partir do dia 01/06/2024, assinaturas eletrônicas sem certificação não são aceitas, incluindo assinaturas digitais, "coladas" ou "desenhadas" no documento digital.
Reenviar os documentos assinados de uma das formas abaixo:
- Assinaturas eletrônicas acompanhadas de certificação digital emitidos pelo GOV.BR ou ICPBrasil.
OU
- Assinaturas de próprio punho acompanhadas do documento de identidade do signatário</v>
          </cell>
        </row>
        <row r="23">
          <cell r="A23" t="str">
            <v xml:space="preserve">ASSINATURAS DIGITAIS QUE NÃO VALIDAM </v>
          </cell>
          <cell r="B23" t="str">
            <v>Não foi possível validar a assinatura do(a) (nome da pessoa) no (especificar o documento). Os documentos estão sem assinatura reconhecível ou com assinatura corrompida. Deverão assinar novamente ou reencaminhar o arquivo original, sem que tenha sido modificado ou salvo em PDF para que não perca a sua validação</v>
          </cell>
        </row>
        <row r="24">
          <cell r="A24" t="str">
            <v>ASSINATURAS DIGITAIS QUE NÃO VALIDAM - CONTRATOS PÚBLICOS</v>
          </cell>
          <cell r="B24" t="str">
            <v>Não foi possível validar a assinatura do(a) (nome da pessoa) no (especificar o documento). Os documentos estão sem assinatura reconhecível ou com assinatura corrompida. Deverão assinar novamente ou reencaminhar o arquivo original, sem que tenha sido modificado ou salvo em PDF para que não perca a sua validação. 
**EXCEPCIONALMENTE QUANDO NÃO FOR POSSÍVEL VALIDAR A ASSINATURA PODERÁ SOLICITAR A COMPROVAÇÃO DA PUBLICAÇÃO DO MESMO**
 Não foi possível validar a assinatura do(a) (nome da pessoa) no (especificar o documento). Os documentos estão sem assinatura reconhecível ou com assinatura corrompida. Deverão assinar novamente ou reencaminhar o arquivo original, sem que tenha sido modificado ou salvo em PDF para que não perca a sua validação. 
Na impossibilidade de ser assinado novamente poderão apresentar o documento publicado (o contrato) em diário oficial.</v>
          </cell>
        </row>
        <row r="25">
          <cell r="A25" t="str">
            <v>DAP – ESTABELECIMENTO IRREGULAR</v>
          </cell>
          <cell r="B25" t="str">
            <v xml:space="preserve">PROTOCOLO INDEFERIDO.
Não é possível realizar o ingresso de DAP em estabelecimentos irregulares, conforme Artigo 3º da deliberação do CRF nº1004/2021.
Deverão primeiro regularizar o estabelecimento com assistência integral e após isso, reiniciar o procedimento via CRF EM CASA, reencaminhando toda a documentação. </v>
          </cell>
        </row>
        <row r="26">
          <cell r="A26" t="str">
            <v>DAP COBRINDO MAIS QUE 6 PROFISSIONAIS</v>
          </cell>
          <cell r="B26" t="str">
            <v>PROTOCOLO INDEFERIDO.
Não é possível realizar o ingresso do(a) profissional ____________ como DAP pois excede o limite de 06 farmacêuticos no qual poderia efetuar a substituição, conforme Artigo 5º da deliberação do CRF nº 1004/2021.</v>
          </cell>
        </row>
        <row r="27">
          <cell r="A27" t="str">
            <v>SEM INTERVALO DECLARADO</v>
          </cell>
          <cell r="B27" t="str">
            <v>Não é permitido ao profissional trabalhar mais que 06h diárias sem intervalo segundo a CLT. Necessário corrigir o termo de compromisso do(a) profissional ____________ informando ao menos 30 minutos de intervalo.
***Dependendo do tipo de estabelecimento e existência de outros profissionais, acrescentar***
Ressaltamos que legalmente, o estabelecimento deve apresentar farmacêutico por todo horário de funcionamento, de forma que poderá ser necessário a adequação do funcionamento ou ingresso de outro(s) profissional(is) para regularização.</v>
          </cell>
        </row>
        <row r="28">
          <cell r="A28" t="str">
            <v>CARGA HORÁRIA ACIMA DE 10 HORAS AO DIA</v>
          </cell>
          <cell r="B28" t="str">
            <v>Não é permitido ao profissional trabalhar mais que 10 horas por dia segundo a CLT (08h+02h extras). Necessário corrigir o termo de compromisso do(a) profissional ____________ adequando os seus horários.
***Dependendo do tipo de estabelecimento e existência de outros profissionais, acrescentar***
Ressaltamos que legalmente, o estabelecimento deve apresentar farmacêutico por todo horário de funcionamento, de forma que poderá ser necessário a adequação do funcionamento ou ingresso de outro(s) profissional(is) para regularização.</v>
          </cell>
        </row>
        <row r="29">
          <cell r="A29" t="str">
            <v>PROTOCOLOS - ESTABELECIMENTO JÁ POSSUI DIRETOR TÉCNICO</v>
          </cell>
          <cell r="B29" t="str">
            <v>PROTOCOLO INDEFERIDO.
**POR FAVOR, REINICIAR O PROCEDIMENTO VIA CRF EM CASA REENCAMINHANDO TODA A DOCUMENTAÇÃO, JUNTAMENTE COM A CORREÇÃO SOLICITADA/INFORMADA **
Não é possível ingressar o(a) profissional _______________como Diretor Técnico pois atualmente o estabelecimento já possui um diretor, que é o(a) profissional ______________. 
Só poderão ingressar um novo Diretor Técnico após o atual realizar a baixa de responsabilidade técnica ou alterar a sua modalidade.</v>
          </cell>
        </row>
        <row r="30">
          <cell r="A30" t="str">
            <v>PROTOCOLOS - LABORATÓRIO COM INGRESSO DE DIRETOR COM HORÁRIO DECLARADO QUE NÃO COBRE TODO HORÁRIO DE FUNCIONAMENTO:</v>
          </cell>
          <cell r="B30" t="str">
            <v>Conforme disposto no artigo 122 da Resolução RDC 978/2025, é preciso que haja supervisor do pessoal técnico, presencialmente, durante o período de funcionamento. Considerando que o(a) profissional _______________ está requerendo a responsabilidade técnica com horário de assistência que não contempla todo o funcionamento do laboratório, solicitamos a informação da disponibilidade de supervisor(res) técnico(s) legalmente(s) habilitado(s). 
Nesse sentido, deverá apresentar declaração informando o nome completo, profissão e número de registro profissional no órgão de classe do(s) supervisor(es).</v>
          </cell>
        </row>
        <row r="31">
          <cell r="A31" t="str">
            <v xml:space="preserve">PROTOCOLOS - DECLARAÇÃO DE ATIVIDADES DE ESTÉTICA </v>
          </cell>
          <cell r="B31" t="str">
            <v>Deverão apresentar uma declaração redigida e assinada pelo profissional esteta listando os procedimentos que serão realizados no estabelecimento.
Essa declaração elaborada pelo profissional deve conter o rol de procedimentos realizados conforme a nomenclatura técnica, nos termos dos procedimentos permitidos pelas Resoluções do CFF 616/2015 e 645/2017.
Não são aceitas nomenclaturas comerciais ou criadas pelo próprio profissional, visto que não é possível identificar o procedimento e/ou técnica utilizada, impossibilitando a análise acerca da permissão da atividade.
Procedimentos permitidos são: Toxina botulínica, Preenchimentos dérmicos, Carboxiterapia, Intradermoterapia/mesoterapia, Agulhamento e microagulhamento estético, Criolipólise, Fio lifting de autossustentação, Laserterapia ablativa e Peelings (conforme entendimento do CFF)
Procedimento PROIBIDOS, em decorrência da suspensão judicial da Resolução CFF 573/2013: Cosmetoterapia; Eletroterapia; Iontoforese; Laserterapia; Luz intensa pulsada; Radiofrequência estética e Sonoforese (ultrassom estético).</v>
          </cell>
        </row>
        <row r="32">
          <cell r="A32" t="str">
            <v>PROTOCOLOS - CONFLITO DE HORÁRIOS (OUTRA FILIAL)</v>
          </cell>
          <cell r="B32" t="str">
            <v>PROTOCOLO INDEFERIDO POR CONFLITO DE HORÁRIOS.
**POR FAVOR, REINICIAR O PROCEDIMENTO VIA CRF EM CASA REENCAMINHANDO TODA A DOCUMENTAÇÃO, JUNTAMENTE COM A CORREÇÃO SOLICITADA/INFORMADA **
Não é possível ingressar o(a) profissional ____________ pois ele(a) possui RT em outra filial dessa empresa em horários conflitantes com os declarados no Termo de Compromisso.
É necessário que o profissional realize a BAIXA DE RT nesse estabelecimento, via CRF Em Casa (Pessoa Física) OU ENTÃO a Alteração de Horários na outra filial/lotação.</v>
          </cell>
        </row>
        <row r="33">
          <cell r="A33" t="str">
            <v>PROTOCOLOS - CONFLITO DE HORÁRIOS (OUTRO ESTABELECIMENTO)</v>
          </cell>
          <cell r="B33" t="str">
            <v xml:space="preserve">PROTOCOLO INDEFERIDO POR CONFLITO DE HORÁRIOS.
**POR FAVOR, REINICIAR O PROCEDIMENTO VIA CRF EM CASA REENCAMINHANDO TODA A DOCUMENTAÇÃO, JUNTAMENTE COM A CORREÇÃO SOLICITADA/INFORMADA **
Não é possível realizar o ingresso do(a) profissional _____________ pois ele(a) possui outra RT conflitando com os horários com os horários informados no seu termo de compromisso.
É necessário que o profissional realize no outro estabelecimento a BAIXA DE RT (via CRF Em Casa - Pessoa Física) ou a adequação dos seus horários.
Sobre Baixa de RT: https://www.crf-pr.org.br/servico/view/128/baixa-de-responsabilidade-tecnica-3
Sobre Alteração de Horários: https://www.crf-pr.org.br/servico/view/139/alteracao-de-horario-ou-alteracao-de-modalidade-2
(VERIFICAR NECESSIDADE DOS LINKS)
</v>
          </cell>
        </row>
        <row r="34">
          <cell r="A34" t="str">
            <v>PROTOCOLOS - POSSUI RT COMO SUBSTITUTO</v>
          </cell>
          <cell r="B34" t="str">
            <v xml:space="preserve">PROTOCOLO INDEFERIDO POR CONFLITO DE HORÁRIOS.
**POR FAVOR, REINICIAR O PROCEDIMENTO VIA CRF EM CASA REENCAMINHANDO TODA A DOCUMENTAÇÃO, JUNTAMENTE COM A CORREÇÃO SOLICITADA/INFORMADA **
Não é possível realizar o ingresso do(a) profissional _____________ pois ele(a) possui outra RT como Substituto, conflitando com os horários informados no seu termo de compromisso.
O profissional na modalidade de Substituto não pode ter outra responsabilidade técnica no horário de funcionamento do estabelecimento.
É necessário que o profissional realize no outro estabelecimento a BAIXA DE RT (via CRF Em Casa - Pessoa Física) ou a adequação dos seus horários.
Sobre Baixa de RT: https://www.crf-pr.org.br/servico/view/128/baixa-de-responsabilidade-tecnica-3
Sobre Alteração de Horários: https://www.crf-pr.org.br/servico/view/139/alteracao-de-horario-ou-alteracao-de-modalidade-2
(VERIFICAR NECESSIDADE DOS LINKS)
</v>
          </cell>
        </row>
        <row r="35">
          <cell r="A35" t="str">
            <v>PROTOCOLOS -  QUER INGRESSAR COMO SUBSTITUTO, MAS TEM OUTRA RT</v>
          </cell>
          <cell r="B35" t="str">
            <v xml:space="preserve">PROTOCOLO INDEFERIDO POR CONFLITO DE HORÁRIOS.
**POR FAVOR, REINICIAR O PROCEDIMENTO VIA CRF EM CASA REENCAMINHANDO TODA A DOCUMENTAÇÃO, JUNTAMENTE COM A CORREÇÃO SOLICITADA/INFORMADA **
Não é possível realizar o ingresso do(a) profissional _____________ como substituto, pois ele(a) possui outra RT, conflitando com os horários com os horários informados no seu termo de compromisso.
O profissional na modalidade de Substituto não pode ter outra responsabilidade técnica pois precisa ter disponibilidade durante todo o horário de funcionamento desse estabelecimento.
É necessário que o profissional realize no outro estabelecimento a BAIXA DE RT (via CRF Em Casa  Pessoa Física) ou a adequação dos seus horários.
Sobre Baixa de RT: https://www.crf-pr.org.br/servico/view/128/baixa-de-responsabilidade-tecnica-3
Sobre Alteração de Horários: https://www.crf-pr.org.br/servico/view/139/alteracao-de-horario-ou-alteracao-de-modalidade-2
(VERIFICAR NECESSIDADE DOS LINKS)
</v>
          </cell>
        </row>
        <row r="36">
          <cell r="A36" t="str">
            <v>REGISTRO IRREGULAR</v>
          </cell>
          <cell r="B36" t="str">
            <v>Com os horários informados, o estabelecimento não contempla assistência integral. Falta profissional para os horários XX:XX às XX:XX / ou para as folgas do(s) profissional  ______________. 
Por se tratar de Registro, o estabelecimento precisa ter assistência por todo o horário de funcionamento e o procedimento não poderá ser finalizado se o estabelecimento ficar irregular. 
Dessa forma, é necessário readequar os horários, ou o processo será indeferido.</v>
          </cell>
        </row>
        <row r="37">
          <cell r="A37" t="str">
            <v>HABILITAÇÕES - HOSPITALAR</v>
          </cell>
          <cell r="B37" t="str">
            <v>O(a) profissional ___________ não apresentou documentos comprobatórios de habilitação em Farmácia Hospitalar. 
Para estar habilitado, deve atender pelo menos um dos critérios, conforme Artigo 2º da Deliberação nº 880/2016: 
a) comprovar conteúdo na área de Farmácia Hospitalar, cursado na graduação, com carga horária mínima 50h, por meio de declaração expedida pela Instituição de Ensino Superior ou Histórico contendo explicitamente o conteúdo e a carga horária mínima,
b) certificado de conclusão de curso livre de no mínimo 80h, em farmácia hospitalar; 
C) ou ainda, título de especialista.
O profissional deverá protocolar a solicitação de habilitação via CRF-PR Em Casa (Pessoa Física), em "Serviços" -&gt; "Mais Serviços ao Profissional" -&gt; "Solicita Anotação de Título ou Habilitação Profissional (WEB)".
https://www.crf-pr.org.br/servico/view/17/anotacao-de-titulo-de-pos-graduacao
(VERIFICAR NECESSIDADE DO LINK)</v>
          </cell>
        </row>
        <row r="38">
          <cell r="A38" t="str">
            <v>HABILITAÇÕES - HOMEOPATIA</v>
          </cell>
          <cell r="B38" t="str">
            <v>O(a) profissional ___________ não apresentou documentos comprobatórios de habilitação em Homeopatia.
Para estar habilitado, deve atender pelo menos um dos critérios conforme Resolução 576/2013 CFF:
a) ter cursado a disciplina de homeopatia com conteúdo mínimo de 60 (sessenta) horas no curso de graduação, além de estágio obrigatório com o mínimo de 120 (cento e vinte) horas nas farmácias de Instituições de Ensino Superior ou conveniadas, em laboratórios de medicamentos e/ou de insumos homeopáticos.
B) possuir título de especialista ou curso de aprimoramento profissional em homeopatia que atenda as resoluções vigentes do Conselho Federal de Farmácia.
O profissional deverá protocolar a solicitação de habilitação via CRF-PR Em Casa (Pessoa Física), em "Serviços" -&gt; "Mais Serviços ao Profissional" -&gt; "Solicita Anotação de Título ou Habilitação Profissional (WEB)".
https://www.crf-pr.org.br/servico/view/17/anotacao-de-titulo-de-pos-graduacao
(VERIFICAR NECESSIDADE DO LINK)</v>
          </cell>
        </row>
        <row r="39">
          <cell r="A39" t="str">
            <v>HABILITAÇÕES - ONCOLOGIA</v>
          </cell>
          <cell r="B39" t="str">
            <v>O(a) profissional ____________ não apresentou documentos comprobatórios de habilitação em Oncologia.
Para estar habilitado, deve atender pelo menos um dos critérios, previstos na Resolução nº  640/2017 CFF:
a) ser portador de título de especialista emitido pela Sociedade Brasileira de Farmacêuticos em Oncologia (Sobrafo);
b) ter feito residência na área de Oncologia;
c) ser egresso de programa de pós-graduação lato sensu reconhecido pelo Ministério da Educação (MEC) relacionado à farmácia oncológica;
d) ter atuado por 3 (três) anos ou mais na área de oncologia até a data de 31 de dezembro de 2021, o que deve ser comprovado por meio de Carteira de trabalho e Previdência Social (CTPS) ou de contrato e declaração do serviço, com a devida descrição das atividades realizadas e do período de atuação.
Deverá protocolar a solicitação de habilitação via CRF-PR Em Casa (Pessoa Física), em "Serviços" -&gt; "Mais Serviços ao Profissional" -&gt; "Solicita Anotação de Título ou Habilitação Profissional (WEB)".
https://www.crf-pr.org.br/servico/view/17/anotacao-de-titulo-de-pos-graduacao
(VERIFICAR NECESSIDADE DO LINK)</v>
          </cell>
        </row>
        <row r="40">
          <cell r="A40" t="str">
            <v xml:space="preserve">HABILITAÇÕES - ESTÉTICA </v>
          </cell>
          <cell r="B40" t="str">
            <v>O(a) profissional __________ não apresentou documentos comprobatórios de habilitação em Farmácia Esteta.
Para estar habilitado, o profissional deve apresentar documento comprobatório da habilitação, conforme Resolução nº 616/15 do CFF. 
Deverá protocolar a solicitação de habilitação via CRF-PR Em Casa (Pessoa Física), em "Serviços" -&gt; "Mais Serviços ao Profissional" -&gt; "Solicita Anotação de Título ou Habilitação Profissional (WEB)".
https://www.crf-pr.org.br/servico/view/17/anotacao-de-titulo-de-pos-graduacao
(VERIFICAR NECESSIDADE DO LINK)</v>
          </cell>
        </row>
        <row r="41">
          <cell r="A41" t="str">
            <v>PROTOCOLO DE IRREGULAR – 209</v>
          </cell>
          <cell r="B41" t="str">
            <v xml:space="preserve">Em relação ao protocolo n° ____, informamos que o estabelecimento se encontra com assistência técnica insuficiente. A não regularização enseja em não emissão de certidão e a aplicação de autuações/multa para os horários sem assistência técnica nos termos da legislação vigente.
</v>
          </cell>
        </row>
        <row r="42">
          <cell r="A42" t="str">
            <v>SOLICITAÇÃO DE ESCALA VIA E-MAIL</v>
          </cell>
          <cell r="B42" t="str">
            <v xml:space="preserve">Bom dia! /Boa tarde!
 Em relação ao Protocolo n.º ____________ do estabelecimento ______________ CNPJ **.***.***/0000-01, informamos que a Certidão de Regularidade Técnica está condicionada à apresentação de uma escala de trabalho dos farmacêuticos para comprovação da integralidade da assistência. Deve ser apresentado escala de no mínimo 04 semanas, na qual informe os dias de folga e os horários de trabalho dos profissionais. Havendo profissional substituto, deve ser informado o horário de trabalho realizado nos dias de cobertura das folgas dos efetivos.
Deverão encaminhar a escala através do CRF-PR Em Casa no acesso de Pessoa Jurídica, opção "Serviços" -&gt; “Mais Serviços à Pessoa Jurídica” -&gt; “Escala de Assistência Farmacêutica (WEB)”.
</v>
          </cell>
        </row>
        <row r="43">
          <cell r="A43" t="str">
            <v>RESPOSTAS ESCALAS DEFERIDAS</v>
          </cell>
          <cell r="B43" t="str">
            <v>R: A escala apresentada comprova a assistência integral. Verificar a CRT a partir de 12/12/25.
R: A escala apresentada comprova a assistência integral. Verificar a CRT a partir das 18h de 06/11/25.
R: Escala apresentada contempla assistência integral, mas fere ACT por conceder apenas 1 domingo de folga.</v>
          </cell>
        </row>
        <row r="44">
          <cell r="A44" t="str">
            <v>RESPOSTAS ESCALAS INDEFERIDAS</v>
          </cell>
          <cell r="B44" t="str">
            <v>R: Procedimento indeferido, considerando o protocolo nº xxxxxxx, no qual o estabelecimento ainda se encontra irregular.
R: Para análise é necessário enviar a escala de serviços COMPLETA conforme Resolução do CFF 700/21 ART. 3°, Parágrafo 4°.		
R: Procedimento indeferido, pois xxxxxxxxxxxxxxxxxxxxxxxxxxxxxxxxxxx no qual o estabelecimento ainda se encontra irregular.</v>
          </cell>
        </row>
        <row r="45">
          <cell r="A45" t="str">
            <v>CANCELAMENTO DE REGISTRO PJ ANOTADO</v>
          </cell>
          <cell r="B45" t="str">
            <v>R: Procedimento de cancelamento de registro para apreciação no plenário de 12/12/25</v>
          </cell>
        </row>
        <row r="46">
          <cell r="A46" t="str">
            <v xml:space="preserve">DOCUMENTOS PARA CANCELAR REGISTRO PJ </v>
          </cell>
          <cell r="B46" t="str">
            <v xml:space="preserve">1. Para a baixa de registro do estabelecimento, primeiramente é necessário a baixa da Responsabilidade Técnica do farmacêutico diretor técnico, seguindo o procedimento orientado no site do CRF/PR, em serviços, pessoa física, Baixa de Responsabilidade técnica;
2. Após a realização do procedimento de baixa de responsabilidade técnica o representante legal do estabelecimento ou procurador devidamente constituído solicita o cancelamento de registro do estabelecimento, em serviços, mais serviços à pessoa jurídica, cancelamento de registro de pessoa jurídica.
2.1 A solicitação do representante Legal deverá conter o motivo do requerimento da baixa do registro, que poderá ser:
- Mudança na atividade comercial da empresa: alteração contratual arquivada pela Junta Comercial do Paraná, com a respectiva alteração do objeto social.
- Mudança de Conselho de classe profissional: apresentar Certidão de Regularidade ou Anotação de Responsabilidade Técnica emitida pelo outro Conselho Profissional.
- Encerramento das atividades: Declaração com deferimento expresso e assinado de encerramento das atividades na Vigilância Sanitária. 
- Comprovante de CNPJ baixado ou alteração contratual encerrando a filial.
- Se for prestadora de serviços enviar declaração assinada de próprio punho com a solicitação do cancelamento. </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idades"/>
      <sheetName val="ACT - atualizar aqui"/>
    </sheetNames>
    <sheetDataSet>
      <sheetData sheetId="0">
        <row r="2">
          <cell r="A2" t="str">
            <v>Abatia</v>
          </cell>
          <cell r="B2" t="str">
            <v>var_sto</v>
          </cell>
          <cell r="C2">
            <v>5030</v>
          </cell>
          <cell r="D2">
            <v>5030</v>
          </cell>
          <cell r="E2" t="str">
            <v>dist</v>
          </cell>
          <cell r="F2">
            <v>4764</v>
          </cell>
          <cell r="G2">
            <v>4515</v>
          </cell>
          <cell r="H2" t="str">
            <v>labo</v>
          </cell>
          <cell r="I2">
            <v>3763.08</v>
          </cell>
          <cell r="J2">
            <v>3573</v>
          </cell>
          <cell r="K2" t="str">
            <v>ind_pr</v>
          </cell>
          <cell r="L2">
            <v>4211.45</v>
          </cell>
          <cell r="M2">
            <v>0</v>
          </cell>
          <cell r="N2">
            <v>0</v>
          </cell>
          <cell r="O2" t="e">
            <v>#N/A</v>
          </cell>
          <cell r="P2" t="e">
            <v>#N/A</v>
          </cell>
        </row>
        <row r="3">
          <cell r="A3" t="str">
            <v>Adrianopolis</v>
          </cell>
          <cell r="B3" t="str">
            <v>var_pr</v>
          </cell>
          <cell r="C3">
            <v>4729.62</v>
          </cell>
          <cell r="D3">
            <v>4729.62</v>
          </cell>
          <cell r="E3" t="str">
            <v>dist</v>
          </cell>
          <cell r="F3">
            <v>4764</v>
          </cell>
          <cell r="G3">
            <v>4515</v>
          </cell>
          <cell r="H3" t="str">
            <v>labo</v>
          </cell>
          <cell r="I3">
            <v>3763.08</v>
          </cell>
          <cell r="J3">
            <v>3573</v>
          </cell>
          <cell r="K3" t="str">
            <v>ind_pr</v>
          </cell>
          <cell r="L3">
            <v>4211.45</v>
          </cell>
          <cell r="M3">
            <v>0</v>
          </cell>
          <cell r="N3" t="str">
            <v>hosp_pr</v>
          </cell>
          <cell r="O3">
            <v>4567</v>
          </cell>
          <cell r="P3">
            <v>0</v>
          </cell>
        </row>
        <row r="4">
          <cell r="A4" t="str">
            <v>Agudos do Sul</v>
          </cell>
          <cell r="B4" t="str">
            <v>var_pr</v>
          </cell>
          <cell r="C4">
            <v>4729.62</v>
          </cell>
          <cell r="D4">
            <v>4729.62</v>
          </cell>
          <cell r="E4" t="str">
            <v>dist</v>
          </cell>
          <cell r="F4">
            <v>4764</v>
          </cell>
          <cell r="G4">
            <v>4515</v>
          </cell>
          <cell r="H4" t="str">
            <v>labo</v>
          </cell>
          <cell r="I4">
            <v>3763.08</v>
          </cell>
          <cell r="J4">
            <v>3573</v>
          </cell>
          <cell r="K4" t="str">
            <v>ind_pr</v>
          </cell>
          <cell r="L4">
            <v>4211.45</v>
          </cell>
          <cell r="M4">
            <v>0</v>
          </cell>
          <cell r="N4" t="str">
            <v>hosp_pr</v>
          </cell>
          <cell r="O4">
            <v>4567</v>
          </cell>
          <cell r="P4">
            <v>0</v>
          </cell>
        </row>
        <row r="5">
          <cell r="A5" t="str">
            <v>Almirante Tamandare</v>
          </cell>
          <cell r="B5" t="str">
            <v>var_pr</v>
          </cell>
          <cell r="C5">
            <v>4729.62</v>
          </cell>
          <cell r="D5">
            <v>4729.62</v>
          </cell>
          <cell r="E5" t="str">
            <v>dist</v>
          </cell>
          <cell r="F5">
            <v>4764</v>
          </cell>
          <cell r="G5">
            <v>4515</v>
          </cell>
          <cell r="H5" t="str">
            <v>labo</v>
          </cell>
          <cell r="I5">
            <v>3763.08</v>
          </cell>
          <cell r="J5">
            <v>3573</v>
          </cell>
          <cell r="K5" t="str">
            <v>ind_pr</v>
          </cell>
          <cell r="L5">
            <v>4211.45</v>
          </cell>
          <cell r="M5">
            <v>0</v>
          </cell>
          <cell r="N5" t="str">
            <v>hosp_pr</v>
          </cell>
          <cell r="O5">
            <v>4567</v>
          </cell>
          <cell r="P5">
            <v>0</v>
          </cell>
        </row>
        <row r="6">
          <cell r="A6" t="str">
            <v>Altamira do Parana</v>
          </cell>
          <cell r="B6" t="str">
            <v>var_pr</v>
          </cell>
          <cell r="C6">
            <v>4729.62</v>
          </cell>
          <cell r="D6">
            <v>4729.62</v>
          </cell>
          <cell r="E6" t="str">
            <v>dist</v>
          </cell>
          <cell r="F6">
            <v>4764</v>
          </cell>
          <cell r="G6">
            <v>4515</v>
          </cell>
          <cell r="H6" t="str">
            <v>labo</v>
          </cell>
          <cell r="I6">
            <v>3763.08</v>
          </cell>
          <cell r="J6">
            <v>3573</v>
          </cell>
          <cell r="K6" t="str">
            <v>ind_pr</v>
          </cell>
          <cell r="L6">
            <v>4211.45</v>
          </cell>
          <cell r="M6">
            <v>0</v>
          </cell>
          <cell r="N6" t="str">
            <v>hosp_cm</v>
          </cell>
          <cell r="O6">
            <v>4133.2</v>
          </cell>
          <cell r="P6">
            <v>0</v>
          </cell>
        </row>
        <row r="7">
          <cell r="A7" t="str">
            <v>Alto Paraiso</v>
          </cell>
          <cell r="B7" t="str">
            <v>var_pr</v>
          </cell>
          <cell r="C7">
            <v>4729.62</v>
          </cell>
          <cell r="D7">
            <v>4729.62</v>
          </cell>
          <cell r="E7" t="str">
            <v>dist</v>
          </cell>
          <cell r="F7">
            <v>4764</v>
          </cell>
          <cell r="G7">
            <v>4515</v>
          </cell>
          <cell r="H7" t="str">
            <v>labo</v>
          </cell>
          <cell r="I7">
            <v>3763.08</v>
          </cell>
          <cell r="J7">
            <v>3573</v>
          </cell>
          <cell r="K7" t="str">
            <v>ind_pr</v>
          </cell>
          <cell r="L7">
            <v>4211.45</v>
          </cell>
          <cell r="M7">
            <v>0</v>
          </cell>
          <cell r="N7">
            <v>0</v>
          </cell>
          <cell r="O7" t="e">
            <v>#N/A</v>
          </cell>
          <cell r="P7" t="e">
            <v>#N/A</v>
          </cell>
        </row>
        <row r="8">
          <cell r="A8" t="str">
            <v>Alto Parana</v>
          </cell>
          <cell r="B8" t="str">
            <v>var_par</v>
          </cell>
          <cell r="C8">
            <v>4846</v>
          </cell>
          <cell r="D8">
            <v>4846</v>
          </cell>
          <cell r="E8" t="str">
            <v>dist</v>
          </cell>
          <cell r="F8">
            <v>4764</v>
          </cell>
          <cell r="G8">
            <v>4515</v>
          </cell>
          <cell r="H8" t="str">
            <v>labo</v>
          </cell>
          <cell r="I8">
            <v>3763.08</v>
          </cell>
          <cell r="J8">
            <v>3573</v>
          </cell>
          <cell r="K8" t="str">
            <v>ind_pr</v>
          </cell>
          <cell r="L8">
            <v>4211.45</v>
          </cell>
          <cell r="M8">
            <v>0</v>
          </cell>
          <cell r="N8">
            <v>0</v>
          </cell>
          <cell r="O8" t="e">
            <v>#N/A</v>
          </cell>
          <cell r="P8" t="e">
            <v>#N/A</v>
          </cell>
        </row>
        <row r="9">
          <cell r="A9" t="str">
            <v>Alto Piquiri</v>
          </cell>
          <cell r="B9" t="str">
            <v>var_pr</v>
          </cell>
          <cell r="C9">
            <v>4729.62</v>
          </cell>
          <cell r="D9">
            <v>4729.62</v>
          </cell>
          <cell r="E9" t="str">
            <v>dist</v>
          </cell>
          <cell r="F9">
            <v>4764</v>
          </cell>
          <cell r="G9">
            <v>4515</v>
          </cell>
          <cell r="H9" t="str">
            <v>labo</v>
          </cell>
          <cell r="I9">
            <v>3763.08</v>
          </cell>
          <cell r="J9">
            <v>3573</v>
          </cell>
          <cell r="K9" t="str">
            <v>ind_pr</v>
          </cell>
          <cell r="L9">
            <v>4211.45</v>
          </cell>
          <cell r="M9">
            <v>0</v>
          </cell>
          <cell r="N9" t="str">
            <v>hosp_umu</v>
          </cell>
          <cell r="O9">
            <v>2428.5500000000002</v>
          </cell>
          <cell r="P9">
            <v>0</v>
          </cell>
        </row>
        <row r="10">
          <cell r="A10" t="str">
            <v>Altonia</v>
          </cell>
          <cell r="B10" t="str">
            <v>var_pr</v>
          </cell>
          <cell r="C10">
            <v>4729.62</v>
          </cell>
          <cell r="D10">
            <v>4729.62</v>
          </cell>
          <cell r="E10" t="str">
            <v>dist</v>
          </cell>
          <cell r="F10">
            <v>4764</v>
          </cell>
          <cell r="G10">
            <v>4515</v>
          </cell>
          <cell r="H10" t="str">
            <v>labo</v>
          </cell>
          <cell r="I10">
            <v>3763.08</v>
          </cell>
          <cell r="J10">
            <v>3573</v>
          </cell>
          <cell r="K10" t="str">
            <v>ind_pr</v>
          </cell>
          <cell r="L10">
            <v>4211.45</v>
          </cell>
          <cell r="M10">
            <v>0</v>
          </cell>
          <cell r="N10" t="str">
            <v>hosp_umu</v>
          </cell>
          <cell r="O10">
            <v>2428.5500000000002</v>
          </cell>
          <cell r="P10">
            <v>0</v>
          </cell>
        </row>
        <row r="11">
          <cell r="A11" t="str">
            <v>Alvorada do Sul</v>
          </cell>
          <cell r="B11" t="str">
            <v>var_ld</v>
          </cell>
          <cell r="C11">
            <v>4750</v>
          </cell>
          <cell r="D11">
            <v>4527</v>
          </cell>
          <cell r="E11" t="str">
            <v>dist</v>
          </cell>
          <cell r="F11">
            <v>4764</v>
          </cell>
          <cell r="G11">
            <v>4515</v>
          </cell>
          <cell r="H11" t="str">
            <v>labo</v>
          </cell>
          <cell r="I11">
            <v>3763.08</v>
          </cell>
          <cell r="J11">
            <v>3573</v>
          </cell>
          <cell r="K11" t="str">
            <v>ind_pr</v>
          </cell>
          <cell r="L11">
            <v>4211.45</v>
          </cell>
          <cell r="M11">
            <v>0</v>
          </cell>
          <cell r="N11">
            <v>0</v>
          </cell>
          <cell r="O11" t="e">
            <v>#N/A</v>
          </cell>
          <cell r="P11" t="e">
            <v>#N/A</v>
          </cell>
        </row>
        <row r="12">
          <cell r="A12" t="str">
            <v>Amapora</v>
          </cell>
          <cell r="B12" t="str">
            <v>var_par</v>
          </cell>
          <cell r="C12">
            <v>4846</v>
          </cell>
          <cell r="D12">
            <v>4846</v>
          </cell>
          <cell r="E12" t="str">
            <v>dist</v>
          </cell>
          <cell r="F12">
            <v>4764</v>
          </cell>
          <cell r="G12">
            <v>4515</v>
          </cell>
          <cell r="H12" t="str">
            <v>labo</v>
          </cell>
          <cell r="I12">
            <v>3763.08</v>
          </cell>
          <cell r="J12">
            <v>3573</v>
          </cell>
          <cell r="K12" t="str">
            <v>ind_pr</v>
          </cell>
          <cell r="L12">
            <v>4211.45</v>
          </cell>
          <cell r="M12">
            <v>0</v>
          </cell>
          <cell r="N12">
            <v>0</v>
          </cell>
          <cell r="O12" t="e">
            <v>#N/A</v>
          </cell>
          <cell r="P12" t="e">
            <v>#N/A</v>
          </cell>
        </row>
        <row r="13">
          <cell r="A13" t="str">
            <v>Ampere</v>
          </cell>
          <cell r="B13" t="str">
            <v>var_pr</v>
          </cell>
          <cell r="C13">
            <v>4729.62</v>
          </cell>
          <cell r="D13">
            <v>4729.62</v>
          </cell>
          <cell r="E13" t="str">
            <v>dist</v>
          </cell>
          <cell r="F13">
            <v>4764</v>
          </cell>
          <cell r="G13">
            <v>4515</v>
          </cell>
          <cell r="H13" t="str">
            <v>labo</v>
          </cell>
          <cell r="I13">
            <v>3763.08</v>
          </cell>
          <cell r="J13">
            <v>3573</v>
          </cell>
          <cell r="K13" t="str">
            <v>ind_pr</v>
          </cell>
          <cell r="L13">
            <v>4211.45</v>
          </cell>
          <cell r="M13">
            <v>0</v>
          </cell>
          <cell r="N13" t="str">
            <v>hosp_sudpr</v>
          </cell>
          <cell r="O13">
            <v>1760</v>
          </cell>
          <cell r="P13">
            <v>0</v>
          </cell>
        </row>
        <row r="14">
          <cell r="A14" t="str">
            <v>Anahy</v>
          </cell>
          <cell r="B14" t="str">
            <v>var_op</v>
          </cell>
          <cell r="C14">
            <v>4653</v>
          </cell>
          <cell r="D14">
            <v>4452</v>
          </cell>
          <cell r="E14" t="str">
            <v>dist</v>
          </cell>
          <cell r="F14">
            <v>4764</v>
          </cell>
          <cell r="G14">
            <v>4515</v>
          </cell>
          <cell r="H14" t="str">
            <v>labo</v>
          </cell>
          <cell r="I14">
            <v>3763.08</v>
          </cell>
          <cell r="J14">
            <v>3573</v>
          </cell>
          <cell r="K14" t="str">
            <v>ind_pr</v>
          </cell>
          <cell r="L14">
            <v>4211.45</v>
          </cell>
          <cell r="M14">
            <v>0</v>
          </cell>
          <cell r="N14">
            <v>0</v>
          </cell>
          <cell r="O14" t="e">
            <v>#N/A</v>
          </cell>
          <cell r="P14" t="e">
            <v>#N/A</v>
          </cell>
        </row>
        <row r="15">
          <cell r="A15" t="str">
            <v>Andira</v>
          </cell>
          <cell r="B15" t="str">
            <v>var_ld</v>
          </cell>
          <cell r="C15">
            <v>4750</v>
          </cell>
          <cell r="D15">
            <v>4527</v>
          </cell>
          <cell r="E15" t="str">
            <v>dist</v>
          </cell>
          <cell r="F15">
            <v>4764</v>
          </cell>
          <cell r="G15">
            <v>4515</v>
          </cell>
          <cell r="H15" t="str">
            <v>labo</v>
          </cell>
          <cell r="I15">
            <v>3763.08</v>
          </cell>
          <cell r="J15">
            <v>3573</v>
          </cell>
          <cell r="K15" t="str">
            <v>ind_pr</v>
          </cell>
          <cell r="L15">
            <v>4211.45</v>
          </cell>
          <cell r="M15">
            <v>0</v>
          </cell>
          <cell r="N15" t="str">
            <v>hosp_nor</v>
          </cell>
          <cell r="O15">
            <v>1760</v>
          </cell>
          <cell r="P15">
            <v>0</v>
          </cell>
        </row>
        <row r="16">
          <cell r="A16" t="str">
            <v>Angulo</v>
          </cell>
          <cell r="B16" t="str">
            <v>var_pr</v>
          </cell>
          <cell r="C16">
            <v>4729.62</v>
          </cell>
          <cell r="D16">
            <v>4729.62</v>
          </cell>
          <cell r="E16" t="str">
            <v>dist</v>
          </cell>
          <cell r="F16">
            <v>4764</v>
          </cell>
          <cell r="G16">
            <v>4515</v>
          </cell>
          <cell r="H16" t="str">
            <v>labo</v>
          </cell>
          <cell r="I16">
            <v>3763.08</v>
          </cell>
          <cell r="J16">
            <v>3573</v>
          </cell>
          <cell r="K16" t="str">
            <v>ind_pr</v>
          </cell>
          <cell r="L16">
            <v>4211.45</v>
          </cell>
          <cell r="M16">
            <v>0</v>
          </cell>
          <cell r="N16">
            <v>0</v>
          </cell>
          <cell r="O16" t="e">
            <v>#N/A</v>
          </cell>
          <cell r="P16" t="e">
            <v>#N/A</v>
          </cell>
        </row>
        <row r="17">
          <cell r="A17" t="str">
            <v>Antonina</v>
          </cell>
          <cell r="B17" t="str">
            <v>var_pr</v>
          </cell>
          <cell r="C17">
            <v>4729.62</v>
          </cell>
          <cell r="D17">
            <v>4729.62</v>
          </cell>
          <cell r="E17" t="str">
            <v>dist</v>
          </cell>
          <cell r="F17">
            <v>4764</v>
          </cell>
          <cell r="G17">
            <v>4515</v>
          </cell>
          <cell r="H17" t="str">
            <v>labo</v>
          </cell>
          <cell r="I17">
            <v>3763.08</v>
          </cell>
          <cell r="J17">
            <v>3573</v>
          </cell>
          <cell r="K17" t="str">
            <v>ind_pr</v>
          </cell>
          <cell r="L17">
            <v>4211.45</v>
          </cell>
          <cell r="M17">
            <v>0</v>
          </cell>
          <cell r="N17" t="str">
            <v>hosp_pr</v>
          </cell>
          <cell r="O17">
            <v>4567</v>
          </cell>
          <cell r="P17">
            <v>0</v>
          </cell>
        </row>
        <row r="18">
          <cell r="A18" t="str">
            <v>Antonio Olinto</v>
          </cell>
          <cell r="B18" t="str">
            <v>var_pr</v>
          </cell>
          <cell r="C18">
            <v>4729.62</v>
          </cell>
          <cell r="D18">
            <v>4729.62</v>
          </cell>
          <cell r="E18" t="str">
            <v>dist</v>
          </cell>
          <cell r="F18">
            <v>4764</v>
          </cell>
          <cell r="G18">
            <v>4515</v>
          </cell>
          <cell r="H18" t="str">
            <v>labo</v>
          </cell>
          <cell r="I18">
            <v>3763.08</v>
          </cell>
          <cell r="J18">
            <v>3573</v>
          </cell>
          <cell r="K18" t="str">
            <v>ind_pr</v>
          </cell>
          <cell r="L18">
            <v>4211.45</v>
          </cell>
          <cell r="M18">
            <v>0</v>
          </cell>
          <cell r="N18">
            <v>0</v>
          </cell>
          <cell r="O18" t="e">
            <v>#N/A</v>
          </cell>
          <cell r="P18" t="e">
            <v>#N/A</v>
          </cell>
        </row>
        <row r="19">
          <cell r="A19" t="str">
            <v>Apucarana</v>
          </cell>
          <cell r="B19" t="str">
            <v>var_ld</v>
          </cell>
          <cell r="C19">
            <v>4750</v>
          </cell>
          <cell r="D19">
            <v>4527</v>
          </cell>
          <cell r="E19" t="str">
            <v>dist</v>
          </cell>
          <cell r="F19">
            <v>4764</v>
          </cell>
          <cell r="G19">
            <v>4515</v>
          </cell>
          <cell r="H19" t="str">
            <v>labo</v>
          </cell>
          <cell r="I19">
            <v>3763.08</v>
          </cell>
          <cell r="J19">
            <v>3573</v>
          </cell>
          <cell r="K19" t="str">
            <v>ind_pr</v>
          </cell>
          <cell r="L19">
            <v>4211.45</v>
          </cell>
          <cell r="M19">
            <v>0</v>
          </cell>
          <cell r="N19">
            <v>0</v>
          </cell>
          <cell r="O19" t="e">
            <v>#N/A</v>
          </cell>
          <cell r="P19" t="e">
            <v>#N/A</v>
          </cell>
        </row>
        <row r="20">
          <cell r="A20" t="str">
            <v>Arapongas</v>
          </cell>
          <cell r="B20" t="str">
            <v>var_ld</v>
          </cell>
          <cell r="C20">
            <v>4750</v>
          </cell>
          <cell r="D20">
            <v>4527</v>
          </cell>
          <cell r="E20" t="str">
            <v>dist</v>
          </cell>
          <cell r="F20">
            <v>4764</v>
          </cell>
          <cell r="G20">
            <v>4515</v>
          </cell>
          <cell r="H20" t="str">
            <v>labo</v>
          </cell>
          <cell r="I20">
            <v>3763.08</v>
          </cell>
          <cell r="J20">
            <v>3573</v>
          </cell>
          <cell r="K20" t="str">
            <v>ind_pr</v>
          </cell>
          <cell r="L20">
            <v>4211.45</v>
          </cell>
          <cell r="M20">
            <v>0</v>
          </cell>
          <cell r="N20">
            <v>0</v>
          </cell>
          <cell r="O20" t="e">
            <v>#N/A</v>
          </cell>
          <cell r="P20" t="e">
            <v>#N/A</v>
          </cell>
        </row>
        <row r="21">
          <cell r="A21" t="str">
            <v>Arapoti</v>
          </cell>
          <cell r="B21" t="str">
            <v>var_pr</v>
          </cell>
          <cell r="C21">
            <v>4729.62</v>
          </cell>
          <cell r="D21">
            <v>4729.62</v>
          </cell>
          <cell r="E21" t="str">
            <v>dist</v>
          </cell>
          <cell r="F21">
            <v>4764</v>
          </cell>
          <cell r="G21">
            <v>4515</v>
          </cell>
          <cell r="H21" t="str">
            <v>labo</v>
          </cell>
          <cell r="I21">
            <v>3763.08</v>
          </cell>
          <cell r="J21">
            <v>3573</v>
          </cell>
          <cell r="K21" t="str">
            <v>ind_pr</v>
          </cell>
          <cell r="L21">
            <v>4211.45</v>
          </cell>
          <cell r="M21">
            <v>0</v>
          </cell>
          <cell r="N21">
            <v>0</v>
          </cell>
          <cell r="O21" t="e">
            <v>#N/A</v>
          </cell>
          <cell r="P21" t="e">
            <v>#N/A</v>
          </cell>
        </row>
        <row r="22">
          <cell r="A22" t="str">
            <v>Arapua</v>
          </cell>
          <cell r="B22" t="str">
            <v>var_pr</v>
          </cell>
          <cell r="C22">
            <v>4729.62</v>
          </cell>
          <cell r="D22">
            <v>4729.62</v>
          </cell>
          <cell r="E22" t="str">
            <v>dist</v>
          </cell>
          <cell r="F22">
            <v>4764</v>
          </cell>
          <cell r="G22">
            <v>4515</v>
          </cell>
          <cell r="H22" t="str">
            <v>labo</v>
          </cell>
          <cell r="I22">
            <v>3763.08</v>
          </cell>
          <cell r="J22">
            <v>3573</v>
          </cell>
          <cell r="K22" t="str">
            <v>ind_pr</v>
          </cell>
          <cell r="L22">
            <v>4211.45</v>
          </cell>
          <cell r="M22">
            <v>0</v>
          </cell>
          <cell r="N22">
            <v>0</v>
          </cell>
          <cell r="O22" t="e">
            <v>#N/A</v>
          </cell>
          <cell r="P22" t="e">
            <v>#N/A</v>
          </cell>
        </row>
        <row r="23">
          <cell r="A23" t="str">
            <v>Araruna</v>
          </cell>
          <cell r="B23" t="str">
            <v>var_pr</v>
          </cell>
          <cell r="C23">
            <v>4729.62</v>
          </cell>
          <cell r="D23">
            <v>4729.62</v>
          </cell>
          <cell r="E23" t="str">
            <v>dist</v>
          </cell>
          <cell r="F23">
            <v>4764</v>
          </cell>
          <cell r="G23">
            <v>4515</v>
          </cell>
          <cell r="H23" t="str">
            <v>labo</v>
          </cell>
          <cell r="I23">
            <v>3763.08</v>
          </cell>
          <cell r="J23">
            <v>3573</v>
          </cell>
          <cell r="K23" t="str">
            <v>ind_pr</v>
          </cell>
          <cell r="L23">
            <v>4211.45</v>
          </cell>
          <cell r="M23">
            <v>0</v>
          </cell>
          <cell r="N23" t="str">
            <v>hosp_cm</v>
          </cell>
          <cell r="O23">
            <v>4133.2</v>
          </cell>
          <cell r="P23">
            <v>0</v>
          </cell>
        </row>
        <row r="24">
          <cell r="A24" t="str">
            <v>Araucaria</v>
          </cell>
          <cell r="B24" t="str">
            <v>var_pr</v>
          </cell>
          <cell r="C24">
            <v>4729.62</v>
          </cell>
          <cell r="D24">
            <v>4729.62</v>
          </cell>
          <cell r="E24" t="str">
            <v>dist</v>
          </cell>
          <cell r="F24">
            <v>4764</v>
          </cell>
          <cell r="G24">
            <v>4515</v>
          </cell>
          <cell r="H24" t="str">
            <v>labo</v>
          </cell>
          <cell r="I24">
            <v>3763.08</v>
          </cell>
          <cell r="J24">
            <v>3573</v>
          </cell>
          <cell r="K24" t="str">
            <v>ind_pr</v>
          </cell>
          <cell r="L24">
            <v>4211.45</v>
          </cell>
          <cell r="M24">
            <v>0</v>
          </cell>
          <cell r="N24" t="str">
            <v>hosp_pr</v>
          </cell>
          <cell r="O24">
            <v>4567</v>
          </cell>
          <cell r="P24">
            <v>0</v>
          </cell>
        </row>
        <row r="25">
          <cell r="A25" t="str">
            <v>Ariranha do Ivai</v>
          </cell>
          <cell r="B25" t="str">
            <v>var_pr</v>
          </cell>
          <cell r="C25">
            <v>4729.62</v>
          </cell>
          <cell r="D25">
            <v>4729.62</v>
          </cell>
          <cell r="E25" t="str">
            <v>dist</v>
          </cell>
          <cell r="F25">
            <v>4764</v>
          </cell>
          <cell r="G25">
            <v>4515</v>
          </cell>
          <cell r="H25" t="str">
            <v>labo</v>
          </cell>
          <cell r="I25">
            <v>3763.08</v>
          </cell>
          <cell r="J25">
            <v>3573</v>
          </cell>
          <cell r="K25" t="str">
            <v>ind_pr</v>
          </cell>
          <cell r="L25">
            <v>4211.45</v>
          </cell>
          <cell r="M25">
            <v>0</v>
          </cell>
          <cell r="N25">
            <v>0</v>
          </cell>
          <cell r="O25" t="e">
            <v>#N/A</v>
          </cell>
          <cell r="P25" t="e">
            <v>#N/A</v>
          </cell>
        </row>
        <row r="26">
          <cell r="A26" t="str">
            <v>Assai</v>
          </cell>
          <cell r="B26" t="str">
            <v>var_ld</v>
          </cell>
          <cell r="C26">
            <v>4750</v>
          </cell>
          <cell r="D26">
            <v>4527</v>
          </cell>
          <cell r="E26" t="str">
            <v>dist</v>
          </cell>
          <cell r="F26">
            <v>4764</v>
          </cell>
          <cell r="G26">
            <v>4515</v>
          </cell>
          <cell r="H26" t="str">
            <v>labo</v>
          </cell>
          <cell r="I26">
            <v>3763.08</v>
          </cell>
          <cell r="J26">
            <v>3573</v>
          </cell>
          <cell r="K26" t="str">
            <v>ind_pr</v>
          </cell>
          <cell r="L26">
            <v>4211.45</v>
          </cell>
          <cell r="M26">
            <v>0</v>
          </cell>
          <cell r="N26">
            <v>0</v>
          </cell>
          <cell r="O26" t="e">
            <v>#N/A</v>
          </cell>
          <cell r="P26" t="e">
            <v>#N/A</v>
          </cell>
        </row>
        <row r="27">
          <cell r="A27" t="str">
            <v>Assis Chateaubriand</v>
          </cell>
          <cell r="B27" t="str">
            <v>var_op</v>
          </cell>
          <cell r="C27">
            <v>4653</v>
          </cell>
          <cell r="D27">
            <v>4452</v>
          </cell>
          <cell r="E27" t="str">
            <v>dist</v>
          </cell>
          <cell r="F27">
            <v>4764</v>
          </cell>
          <cell r="G27">
            <v>4515</v>
          </cell>
          <cell r="H27" t="str">
            <v>labo</v>
          </cell>
          <cell r="I27">
            <v>3763.08</v>
          </cell>
          <cell r="J27">
            <v>3573</v>
          </cell>
          <cell r="K27" t="str">
            <v>ind_pr</v>
          </cell>
          <cell r="L27">
            <v>4211.45</v>
          </cell>
          <cell r="M27">
            <v>0</v>
          </cell>
          <cell r="N27" t="str">
            <v>hosp_pr</v>
          </cell>
          <cell r="O27">
            <v>4567</v>
          </cell>
          <cell r="P27">
            <v>0</v>
          </cell>
        </row>
        <row r="28">
          <cell r="A28" t="str">
            <v>Astorga</v>
          </cell>
          <cell r="B28" t="str">
            <v>var_ld</v>
          </cell>
          <cell r="C28">
            <v>4750</v>
          </cell>
          <cell r="D28">
            <v>4527</v>
          </cell>
          <cell r="E28" t="str">
            <v>dist</v>
          </cell>
          <cell r="F28">
            <v>4764</v>
          </cell>
          <cell r="G28">
            <v>4515</v>
          </cell>
          <cell r="H28" t="str">
            <v>labo</v>
          </cell>
          <cell r="I28">
            <v>3763.08</v>
          </cell>
          <cell r="J28">
            <v>3573</v>
          </cell>
          <cell r="K28" t="str">
            <v>ind_pr</v>
          </cell>
          <cell r="L28">
            <v>4211.45</v>
          </cell>
          <cell r="M28">
            <v>0</v>
          </cell>
          <cell r="N28" t="str">
            <v>hosp_mg</v>
          </cell>
          <cell r="O28">
            <v>3888.38</v>
          </cell>
          <cell r="P28">
            <v>0</v>
          </cell>
        </row>
        <row r="29">
          <cell r="A29" t="str">
            <v>Atalaia</v>
          </cell>
          <cell r="B29" t="str">
            <v>var_par</v>
          </cell>
          <cell r="C29">
            <v>4846</v>
          </cell>
          <cell r="D29">
            <v>4846</v>
          </cell>
          <cell r="E29" t="str">
            <v>dist</v>
          </cell>
          <cell r="F29">
            <v>4764</v>
          </cell>
          <cell r="G29">
            <v>4515</v>
          </cell>
          <cell r="H29" t="str">
            <v>labo</v>
          </cell>
          <cell r="I29">
            <v>3763.08</v>
          </cell>
          <cell r="J29">
            <v>3573</v>
          </cell>
          <cell r="K29" t="str">
            <v>ind_pr</v>
          </cell>
          <cell r="L29">
            <v>4211.45</v>
          </cell>
          <cell r="M29">
            <v>0</v>
          </cell>
          <cell r="N29" t="str">
            <v>hosp_mg</v>
          </cell>
          <cell r="O29">
            <v>3888.38</v>
          </cell>
          <cell r="P29">
            <v>0</v>
          </cell>
        </row>
        <row r="30">
          <cell r="A30" t="str">
            <v>Balsa Nova</v>
          </cell>
          <cell r="B30" t="str">
            <v>var_pr</v>
          </cell>
          <cell r="C30">
            <v>4729.62</v>
          </cell>
          <cell r="D30">
            <v>4729.62</v>
          </cell>
          <cell r="E30" t="str">
            <v>dist</v>
          </cell>
          <cell r="F30">
            <v>4764</v>
          </cell>
          <cell r="G30">
            <v>4515</v>
          </cell>
          <cell r="H30" t="str">
            <v>labo</v>
          </cell>
          <cell r="I30">
            <v>3763.08</v>
          </cell>
          <cell r="J30">
            <v>3573</v>
          </cell>
          <cell r="K30" t="str">
            <v>ind_pr</v>
          </cell>
          <cell r="L30">
            <v>4211.45</v>
          </cell>
          <cell r="M30">
            <v>0</v>
          </cell>
          <cell r="N30" t="str">
            <v>hosp_pr</v>
          </cell>
          <cell r="O30">
            <v>4567</v>
          </cell>
          <cell r="P30">
            <v>0</v>
          </cell>
        </row>
        <row r="31">
          <cell r="A31" t="str">
            <v>Bandeirantes</v>
          </cell>
          <cell r="B31" t="str">
            <v>var_ld</v>
          </cell>
          <cell r="C31">
            <v>4750</v>
          </cell>
          <cell r="D31">
            <v>4527</v>
          </cell>
          <cell r="E31" t="str">
            <v>dist</v>
          </cell>
          <cell r="F31">
            <v>4764</v>
          </cell>
          <cell r="G31">
            <v>4515</v>
          </cell>
          <cell r="H31" t="str">
            <v>labo</v>
          </cell>
          <cell r="I31">
            <v>3763.08</v>
          </cell>
          <cell r="J31">
            <v>3573</v>
          </cell>
          <cell r="K31" t="str">
            <v>ind_pr</v>
          </cell>
          <cell r="L31">
            <v>4211.45</v>
          </cell>
          <cell r="M31">
            <v>0</v>
          </cell>
          <cell r="N31">
            <v>0</v>
          </cell>
          <cell r="O31" t="e">
            <v>#N/A</v>
          </cell>
          <cell r="P31" t="e">
            <v>#N/A</v>
          </cell>
        </row>
        <row r="32">
          <cell r="A32" t="str">
            <v>Barbosa Ferraz</v>
          </cell>
          <cell r="B32" t="str">
            <v>var_pr</v>
          </cell>
          <cell r="C32">
            <v>4729.62</v>
          </cell>
          <cell r="D32">
            <v>4729.62</v>
          </cell>
          <cell r="E32" t="str">
            <v>dist</v>
          </cell>
          <cell r="F32">
            <v>4764</v>
          </cell>
          <cell r="G32">
            <v>4515</v>
          </cell>
          <cell r="H32" t="str">
            <v>labo</v>
          </cell>
          <cell r="I32">
            <v>3763.08</v>
          </cell>
          <cell r="J32">
            <v>3573</v>
          </cell>
          <cell r="K32" t="str">
            <v>ind_pr</v>
          </cell>
          <cell r="L32">
            <v>4211.45</v>
          </cell>
          <cell r="M32">
            <v>0</v>
          </cell>
          <cell r="N32" t="str">
            <v>hosp_cm</v>
          </cell>
          <cell r="O32">
            <v>4133.2</v>
          </cell>
          <cell r="P32">
            <v>0</v>
          </cell>
        </row>
        <row r="33">
          <cell r="A33" t="str">
            <v>Barra do Jacare</v>
          </cell>
          <cell r="B33" t="str">
            <v>var_pr</v>
          </cell>
          <cell r="C33">
            <v>4729.62</v>
          </cell>
          <cell r="D33">
            <v>4729.62</v>
          </cell>
          <cell r="E33" t="str">
            <v>dist</v>
          </cell>
          <cell r="F33">
            <v>4764</v>
          </cell>
          <cell r="G33">
            <v>4515</v>
          </cell>
          <cell r="H33" t="str">
            <v>labo</v>
          </cell>
          <cell r="I33">
            <v>3763.08</v>
          </cell>
          <cell r="J33">
            <v>3573</v>
          </cell>
          <cell r="K33" t="str">
            <v>ind_pr</v>
          </cell>
          <cell r="L33">
            <v>4211.45</v>
          </cell>
          <cell r="M33">
            <v>0</v>
          </cell>
          <cell r="N33" t="str">
            <v>hosp_nor</v>
          </cell>
          <cell r="O33">
            <v>1760</v>
          </cell>
          <cell r="P33">
            <v>0</v>
          </cell>
        </row>
        <row r="34">
          <cell r="A34" t="str">
            <v>Barracao</v>
          </cell>
          <cell r="B34" t="str">
            <v>var_pr</v>
          </cell>
          <cell r="C34">
            <v>4729.62</v>
          </cell>
          <cell r="D34">
            <v>4729.62</v>
          </cell>
          <cell r="E34" t="str">
            <v>dist</v>
          </cell>
          <cell r="F34">
            <v>4764</v>
          </cell>
          <cell r="G34">
            <v>4515</v>
          </cell>
          <cell r="H34" t="str">
            <v>labo</v>
          </cell>
          <cell r="I34">
            <v>3763.08</v>
          </cell>
          <cell r="J34">
            <v>3573</v>
          </cell>
          <cell r="K34" t="str">
            <v>ind_pr</v>
          </cell>
          <cell r="L34">
            <v>4211.45</v>
          </cell>
          <cell r="M34">
            <v>0</v>
          </cell>
          <cell r="N34" t="str">
            <v>hosp_sudpr</v>
          </cell>
          <cell r="O34">
            <v>1760</v>
          </cell>
          <cell r="P34">
            <v>0</v>
          </cell>
        </row>
        <row r="35">
          <cell r="A35" t="str">
            <v>Bela Vista da Caroba</v>
          </cell>
          <cell r="B35" t="str">
            <v>var_pr</v>
          </cell>
          <cell r="C35">
            <v>4729.62</v>
          </cell>
          <cell r="D35">
            <v>4729.62</v>
          </cell>
          <cell r="E35" t="str">
            <v>dist</v>
          </cell>
          <cell r="F35">
            <v>4764</v>
          </cell>
          <cell r="G35">
            <v>4515</v>
          </cell>
          <cell r="H35" t="str">
            <v>labo</v>
          </cell>
          <cell r="I35">
            <v>3763.08</v>
          </cell>
          <cell r="J35">
            <v>3573</v>
          </cell>
          <cell r="K35" t="str">
            <v>ind_pr</v>
          </cell>
          <cell r="L35">
            <v>4211.45</v>
          </cell>
          <cell r="M35">
            <v>0</v>
          </cell>
          <cell r="N35" t="str">
            <v>hosp_sudpr</v>
          </cell>
          <cell r="O35">
            <v>1760</v>
          </cell>
          <cell r="P35">
            <v>0</v>
          </cell>
        </row>
        <row r="36">
          <cell r="A36" t="str">
            <v>Bela Vista do Paraiso</v>
          </cell>
          <cell r="B36" t="str">
            <v>var_ld</v>
          </cell>
          <cell r="C36">
            <v>4750</v>
          </cell>
          <cell r="D36">
            <v>4527</v>
          </cell>
          <cell r="E36" t="str">
            <v>dist</v>
          </cell>
          <cell r="F36">
            <v>4764</v>
          </cell>
          <cell r="G36">
            <v>4515</v>
          </cell>
          <cell r="H36" t="str">
            <v>labo</v>
          </cell>
          <cell r="I36">
            <v>3763.08</v>
          </cell>
          <cell r="J36">
            <v>3573</v>
          </cell>
          <cell r="K36" t="str">
            <v>ind_pr</v>
          </cell>
          <cell r="L36">
            <v>4211.45</v>
          </cell>
          <cell r="M36">
            <v>0</v>
          </cell>
          <cell r="N36">
            <v>0</v>
          </cell>
          <cell r="O36" t="e">
            <v>#N/A</v>
          </cell>
          <cell r="P36" t="e">
            <v>#N/A</v>
          </cell>
        </row>
        <row r="37">
          <cell r="A37" t="str">
            <v>Bituruna</v>
          </cell>
          <cell r="B37" t="str">
            <v>var_pr</v>
          </cell>
          <cell r="C37">
            <v>4729.62</v>
          </cell>
          <cell r="D37">
            <v>4729.62</v>
          </cell>
          <cell r="E37" t="str">
            <v>dist</v>
          </cell>
          <cell r="F37">
            <v>4764</v>
          </cell>
          <cell r="G37">
            <v>4515</v>
          </cell>
          <cell r="H37" t="str">
            <v>labo</v>
          </cell>
          <cell r="I37">
            <v>3763.08</v>
          </cell>
          <cell r="J37">
            <v>3573</v>
          </cell>
          <cell r="K37" t="str">
            <v>ind_pr</v>
          </cell>
          <cell r="L37">
            <v>4211.45</v>
          </cell>
          <cell r="M37">
            <v>0</v>
          </cell>
          <cell r="N37">
            <v>0</v>
          </cell>
          <cell r="O37" t="e">
            <v>#N/A</v>
          </cell>
          <cell r="P37" t="e">
            <v>#N/A</v>
          </cell>
        </row>
        <row r="38">
          <cell r="A38" t="str">
            <v>Boa Esperança</v>
          </cell>
          <cell r="B38" t="str">
            <v>var_pr</v>
          </cell>
          <cell r="C38">
            <v>4729.62</v>
          </cell>
          <cell r="D38">
            <v>4729.62</v>
          </cell>
          <cell r="E38" t="str">
            <v>dist</v>
          </cell>
          <cell r="F38">
            <v>4764</v>
          </cell>
          <cell r="G38">
            <v>4515</v>
          </cell>
          <cell r="H38" t="str">
            <v>labo</v>
          </cell>
          <cell r="I38">
            <v>3763.08</v>
          </cell>
          <cell r="J38">
            <v>3573</v>
          </cell>
          <cell r="K38" t="str">
            <v>ind_pr</v>
          </cell>
          <cell r="L38">
            <v>4211.45</v>
          </cell>
          <cell r="M38">
            <v>0</v>
          </cell>
          <cell r="N38" t="str">
            <v>hosp_cm</v>
          </cell>
          <cell r="O38">
            <v>4133.2</v>
          </cell>
          <cell r="P38">
            <v>0</v>
          </cell>
        </row>
        <row r="39">
          <cell r="A39" t="str">
            <v>Boa Esperança do Iguaçu</v>
          </cell>
          <cell r="B39" t="str">
            <v>var_pr</v>
          </cell>
          <cell r="C39">
            <v>4729.62</v>
          </cell>
          <cell r="D39">
            <v>4729.62</v>
          </cell>
          <cell r="E39" t="str">
            <v>dist</v>
          </cell>
          <cell r="F39">
            <v>4764</v>
          </cell>
          <cell r="G39">
            <v>4515</v>
          </cell>
          <cell r="H39" t="str">
            <v>labo</v>
          </cell>
          <cell r="I39">
            <v>3763.08</v>
          </cell>
          <cell r="J39">
            <v>3573</v>
          </cell>
          <cell r="K39" t="str">
            <v>ind_pr</v>
          </cell>
          <cell r="L39">
            <v>4211.45</v>
          </cell>
          <cell r="M39">
            <v>0</v>
          </cell>
          <cell r="N39" t="str">
            <v>hosp_sudpr</v>
          </cell>
          <cell r="O39">
            <v>1760</v>
          </cell>
          <cell r="P39">
            <v>0</v>
          </cell>
        </row>
        <row r="40">
          <cell r="A40" t="str">
            <v>Boa Ventura de Sao Roque</v>
          </cell>
          <cell r="B40" t="str">
            <v>var_pr</v>
          </cell>
          <cell r="C40">
            <v>4729.62</v>
          </cell>
          <cell r="D40">
            <v>4729.62</v>
          </cell>
          <cell r="E40" t="str">
            <v>dist</v>
          </cell>
          <cell r="F40">
            <v>4764</v>
          </cell>
          <cell r="G40">
            <v>4515</v>
          </cell>
          <cell r="H40" t="str">
            <v>labo</v>
          </cell>
          <cell r="I40">
            <v>3763.08</v>
          </cell>
          <cell r="J40">
            <v>3573</v>
          </cell>
          <cell r="K40" t="str">
            <v>ind_pr</v>
          </cell>
          <cell r="L40">
            <v>4211.45</v>
          </cell>
          <cell r="M40">
            <v>0</v>
          </cell>
          <cell r="N40">
            <v>0</v>
          </cell>
          <cell r="O40" t="e">
            <v>#N/A</v>
          </cell>
          <cell r="P40" t="e">
            <v>#N/A</v>
          </cell>
        </row>
        <row r="41">
          <cell r="A41" t="str">
            <v>Boa Vista da Aparecida</v>
          </cell>
          <cell r="B41" t="str">
            <v>var_op</v>
          </cell>
          <cell r="C41">
            <v>4653</v>
          </cell>
          <cell r="D41">
            <v>4452</v>
          </cell>
          <cell r="E41" t="str">
            <v>dist</v>
          </cell>
          <cell r="F41">
            <v>4764</v>
          </cell>
          <cell r="G41">
            <v>4515</v>
          </cell>
          <cell r="H41" t="str">
            <v>labo</v>
          </cell>
          <cell r="I41">
            <v>3763.08</v>
          </cell>
          <cell r="J41">
            <v>3573</v>
          </cell>
          <cell r="K41" t="str">
            <v>ind_pr</v>
          </cell>
          <cell r="L41">
            <v>4211.45</v>
          </cell>
          <cell r="M41">
            <v>0</v>
          </cell>
          <cell r="N41">
            <v>0</v>
          </cell>
          <cell r="O41" t="e">
            <v>#N/A</v>
          </cell>
          <cell r="P41" t="e">
            <v>#N/A</v>
          </cell>
        </row>
        <row r="42">
          <cell r="A42" t="str">
            <v>Bocaiuva do Sul</v>
          </cell>
          <cell r="B42" t="str">
            <v>var_pr</v>
          </cell>
          <cell r="C42">
            <v>4729.62</v>
          </cell>
          <cell r="D42">
            <v>4729.62</v>
          </cell>
          <cell r="E42" t="str">
            <v>dist</v>
          </cell>
          <cell r="F42">
            <v>4764</v>
          </cell>
          <cell r="G42">
            <v>4515</v>
          </cell>
          <cell r="H42" t="str">
            <v>labo</v>
          </cell>
          <cell r="I42">
            <v>3763.08</v>
          </cell>
          <cell r="J42">
            <v>3573</v>
          </cell>
          <cell r="K42" t="str">
            <v>ind_pr</v>
          </cell>
          <cell r="L42">
            <v>4211.45</v>
          </cell>
          <cell r="M42">
            <v>0</v>
          </cell>
          <cell r="N42" t="str">
            <v>hosp_pr</v>
          </cell>
          <cell r="O42">
            <v>4567</v>
          </cell>
          <cell r="P42">
            <v>0</v>
          </cell>
        </row>
        <row r="43">
          <cell r="A43" t="str">
            <v>Bom Jesus do Sul</v>
          </cell>
          <cell r="B43" t="str">
            <v>var_pr</v>
          </cell>
          <cell r="C43">
            <v>4729.62</v>
          </cell>
          <cell r="D43">
            <v>4729.62</v>
          </cell>
          <cell r="E43" t="str">
            <v>dist</v>
          </cell>
          <cell r="F43">
            <v>4764</v>
          </cell>
          <cell r="G43">
            <v>4515</v>
          </cell>
          <cell r="H43" t="str">
            <v>labo</v>
          </cell>
          <cell r="I43">
            <v>3763.08</v>
          </cell>
          <cell r="J43">
            <v>3573</v>
          </cell>
          <cell r="K43" t="str">
            <v>ind_pr</v>
          </cell>
          <cell r="L43">
            <v>4211.45</v>
          </cell>
          <cell r="M43">
            <v>0</v>
          </cell>
          <cell r="N43" t="str">
            <v>hosp_sudpr</v>
          </cell>
          <cell r="O43">
            <v>1760</v>
          </cell>
          <cell r="P43">
            <v>0</v>
          </cell>
        </row>
        <row r="44">
          <cell r="A44" t="str">
            <v>Bom Sucesso</v>
          </cell>
          <cell r="B44" t="str">
            <v>var_ld</v>
          </cell>
          <cell r="C44">
            <v>4750</v>
          </cell>
          <cell r="D44">
            <v>4527</v>
          </cell>
          <cell r="E44" t="str">
            <v>dist</v>
          </cell>
          <cell r="F44">
            <v>4764</v>
          </cell>
          <cell r="G44">
            <v>4515</v>
          </cell>
          <cell r="H44" t="str">
            <v>labo</v>
          </cell>
          <cell r="I44">
            <v>3763.08</v>
          </cell>
          <cell r="J44">
            <v>3573</v>
          </cell>
          <cell r="K44" t="str">
            <v>ind_pr</v>
          </cell>
          <cell r="L44">
            <v>4211.45</v>
          </cell>
          <cell r="M44">
            <v>0</v>
          </cell>
          <cell r="N44">
            <v>0</v>
          </cell>
          <cell r="O44" t="e">
            <v>#N/A</v>
          </cell>
          <cell r="P44" t="e">
            <v>#N/A</v>
          </cell>
        </row>
        <row r="45">
          <cell r="A45" t="str">
            <v>Bom Sucesso do Sul</v>
          </cell>
          <cell r="B45" t="str">
            <v>var_pr</v>
          </cell>
          <cell r="C45">
            <v>4729.62</v>
          </cell>
          <cell r="D45">
            <v>4729.62</v>
          </cell>
          <cell r="E45" t="str">
            <v>dist</v>
          </cell>
          <cell r="F45">
            <v>4764</v>
          </cell>
          <cell r="G45">
            <v>4515</v>
          </cell>
          <cell r="H45" t="str">
            <v>labo</v>
          </cell>
          <cell r="I45">
            <v>3763.08</v>
          </cell>
          <cell r="J45">
            <v>3573</v>
          </cell>
          <cell r="K45" t="str">
            <v>ind_pr</v>
          </cell>
          <cell r="L45">
            <v>4211.45</v>
          </cell>
          <cell r="M45">
            <v>0</v>
          </cell>
          <cell r="N45" t="str">
            <v>hosp_pb</v>
          </cell>
          <cell r="O45">
            <v>1760</v>
          </cell>
          <cell r="P45">
            <v>0</v>
          </cell>
        </row>
        <row r="46">
          <cell r="A46" t="str">
            <v>Borrazopolis</v>
          </cell>
          <cell r="B46" t="str">
            <v>var_ld</v>
          </cell>
          <cell r="C46">
            <v>4750</v>
          </cell>
          <cell r="D46">
            <v>4527</v>
          </cell>
          <cell r="E46" t="str">
            <v>dist</v>
          </cell>
          <cell r="F46">
            <v>4764</v>
          </cell>
          <cell r="G46">
            <v>4515</v>
          </cell>
          <cell r="H46" t="str">
            <v>labo</v>
          </cell>
          <cell r="I46">
            <v>3763.08</v>
          </cell>
          <cell r="J46">
            <v>3573</v>
          </cell>
          <cell r="K46" t="str">
            <v>ind_pr</v>
          </cell>
          <cell r="L46">
            <v>4211.45</v>
          </cell>
          <cell r="M46">
            <v>0</v>
          </cell>
          <cell r="N46">
            <v>0</v>
          </cell>
          <cell r="O46" t="e">
            <v>#N/A</v>
          </cell>
          <cell r="P46" t="e">
            <v>#N/A</v>
          </cell>
        </row>
        <row r="47">
          <cell r="A47" t="str">
            <v>Braganey</v>
          </cell>
          <cell r="B47" t="str">
            <v>var_op</v>
          </cell>
          <cell r="C47">
            <v>4653</v>
          </cell>
          <cell r="D47">
            <v>4452</v>
          </cell>
          <cell r="E47" t="str">
            <v>dist</v>
          </cell>
          <cell r="F47">
            <v>4764</v>
          </cell>
          <cell r="G47">
            <v>4515</v>
          </cell>
          <cell r="H47" t="str">
            <v>labo</v>
          </cell>
          <cell r="I47">
            <v>3763.08</v>
          </cell>
          <cell r="J47">
            <v>3573</v>
          </cell>
          <cell r="K47" t="str">
            <v>ind_pr</v>
          </cell>
          <cell r="L47">
            <v>4211.45</v>
          </cell>
          <cell r="M47">
            <v>0</v>
          </cell>
          <cell r="N47">
            <v>0</v>
          </cell>
          <cell r="O47" t="e">
            <v>#N/A</v>
          </cell>
          <cell r="P47" t="e">
            <v>#N/A</v>
          </cell>
        </row>
        <row r="48">
          <cell r="A48" t="str">
            <v>Brasilandia do Sul</v>
          </cell>
          <cell r="B48" t="str">
            <v>var_pr</v>
          </cell>
          <cell r="C48">
            <v>4729.62</v>
          </cell>
          <cell r="D48">
            <v>4729.62</v>
          </cell>
          <cell r="E48" t="str">
            <v>dist</v>
          </cell>
          <cell r="F48">
            <v>4764</v>
          </cell>
          <cell r="G48">
            <v>4515</v>
          </cell>
          <cell r="H48" t="str">
            <v>labo</v>
          </cell>
          <cell r="I48">
            <v>3763.08</v>
          </cell>
          <cell r="J48">
            <v>3573</v>
          </cell>
          <cell r="K48" t="str">
            <v>ind_pr</v>
          </cell>
          <cell r="L48">
            <v>4211.45</v>
          </cell>
          <cell r="M48">
            <v>0</v>
          </cell>
          <cell r="N48">
            <v>0</v>
          </cell>
          <cell r="O48" t="e">
            <v>#N/A</v>
          </cell>
          <cell r="P48" t="e">
            <v>#N/A</v>
          </cell>
        </row>
        <row r="49">
          <cell r="A49" t="str">
            <v>Cafeara</v>
          </cell>
          <cell r="B49" t="str">
            <v>var_pr</v>
          </cell>
          <cell r="C49">
            <v>4729.62</v>
          </cell>
          <cell r="D49">
            <v>4729.62</v>
          </cell>
          <cell r="E49" t="str">
            <v>dist</v>
          </cell>
          <cell r="F49">
            <v>4764</v>
          </cell>
          <cell r="G49">
            <v>4515</v>
          </cell>
          <cell r="H49" t="str">
            <v>labo</v>
          </cell>
          <cell r="I49">
            <v>3763.08</v>
          </cell>
          <cell r="J49">
            <v>3573</v>
          </cell>
          <cell r="K49" t="str">
            <v>ind_pr</v>
          </cell>
          <cell r="L49">
            <v>4211.45</v>
          </cell>
          <cell r="M49">
            <v>0</v>
          </cell>
          <cell r="N49">
            <v>0</v>
          </cell>
          <cell r="O49" t="e">
            <v>#N/A</v>
          </cell>
          <cell r="P49" t="e">
            <v>#N/A</v>
          </cell>
        </row>
        <row r="50">
          <cell r="A50" t="str">
            <v>Cafelandia</v>
          </cell>
          <cell r="B50" t="str">
            <v>var_op</v>
          </cell>
          <cell r="C50">
            <v>4653</v>
          </cell>
          <cell r="D50">
            <v>4452</v>
          </cell>
          <cell r="E50" t="str">
            <v>dist</v>
          </cell>
          <cell r="F50">
            <v>4764</v>
          </cell>
          <cell r="G50">
            <v>4515</v>
          </cell>
          <cell r="H50" t="str">
            <v>labo</v>
          </cell>
          <cell r="I50">
            <v>3763.08</v>
          </cell>
          <cell r="J50">
            <v>3573</v>
          </cell>
          <cell r="K50" t="str">
            <v>ind_pr</v>
          </cell>
          <cell r="L50">
            <v>4211.45</v>
          </cell>
          <cell r="M50">
            <v>0</v>
          </cell>
          <cell r="N50">
            <v>0</v>
          </cell>
          <cell r="O50" t="e">
            <v>#N/A</v>
          </cell>
          <cell r="P50" t="e">
            <v>#N/A</v>
          </cell>
        </row>
        <row r="51">
          <cell r="A51" t="str">
            <v>Cafezal do Sul</v>
          </cell>
          <cell r="B51" t="str">
            <v>var_pr</v>
          </cell>
          <cell r="C51">
            <v>4729.62</v>
          </cell>
          <cell r="D51">
            <v>4729.62</v>
          </cell>
          <cell r="E51" t="str">
            <v>dist</v>
          </cell>
          <cell r="F51">
            <v>4764</v>
          </cell>
          <cell r="G51">
            <v>4515</v>
          </cell>
          <cell r="H51" t="str">
            <v>labo</v>
          </cell>
          <cell r="I51">
            <v>3763.08</v>
          </cell>
          <cell r="J51">
            <v>3573</v>
          </cell>
          <cell r="K51" t="str">
            <v>ind_pr</v>
          </cell>
          <cell r="L51">
            <v>4211.45</v>
          </cell>
          <cell r="M51">
            <v>0</v>
          </cell>
          <cell r="N51">
            <v>0</v>
          </cell>
          <cell r="O51" t="e">
            <v>#N/A</v>
          </cell>
          <cell r="P51" t="e">
            <v>#N/A</v>
          </cell>
        </row>
        <row r="52">
          <cell r="A52" t="str">
            <v>California</v>
          </cell>
          <cell r="B52" t="str">
            <v>var_ld</v>
          </cell>
          <cell r="C52">
            <v>4750</v>
          </cell>
          <cell r="D52">
            <v>4527</v>
          </cell>
          <cell r="E52" t="str">
            <v>dist</v>
          </cell>
          <cell r="F52">
            <v>4764</v>
          </cell>
          <cell r="G52">
            <v>4515</v>
          </cell>
          <cell r="H52" t="str">
            <v>labo</v>
          </cell>
          <cell r="I52">
            <v>3763.08</v>
          </cell>
          <cell r="J52">
            <v>3573</v>
          </cell>
          <cell r="K52" t="str">
            <v>ind_pr</v>
          </cell>
          <cell r="L52">
            <v>4211.45</v>
          </cell>
          <cell r="M52">
            <v>0</v>
          </cell>
          <cell r="N52">
            <v>0</v>
          </cell>
          <cell r="O52" t="e">
            <v>#N/A</v>
          </cell>
          <cell r="P52" t="e">
            <v>#N/A</v>
          </cell>
        </row>
        <row r="53">
          <cell r="A53" t="str">
            <v>Cambara</v>
          </cell>
          <cell r="B53" t="str">
            <v>var_ld</v>
          </cell>
          <cell r="C53">
            <v>4750</v>
          </cell>
          <cell r="D53">
            <v>4527</v>
          </cell>
          <cell r="E53" t="str">
            <v>dist</v>
          </cell>
          <cell r="F53">
            <v>4764</v>
          </cell>
          <cell r="G53">
            <v>4515</v>
          </cell>
          <cell r="H53" t="str">
            <v>labo</v>
          </cell>
          <cell r="I53">
            <v>3763.08</v>
          </cell>
          <cell r="J53">
            <v>3573</v>
          </cell>
          <cell r="K53" t="str">
            <v>ind_pr</v>
          </cell>
          <cell r="L53">
            <v>4211.45</v>
          </cell>
          <cell r="M53">
            <v>0</v>
          </cell>
          <cell r="N53" t="str">
            <v>hosp_nor</v>
          </cell>
          <cell r="O53">
            <v>1760</v>
          </cell>
          <cell r="P53">
            <v>0</v>
          </cell>
        </row>
        <row r="54">
          <cell r="A54" t="str">
            <v>Cambe</v>
          </cell>
          <cell r="B54" t="str">
            <v>var_ld</v>
          </cell>
          <cell r="C54">
            <v>4750</v>
          </cell>
          <cell r="D54">
            <v>4527</v>
          </cell>
          <cell r="E54" t="str">
            <v>dist</v>
          </cell>
          <cell r="F54">
            <v>4764</v>
          </cell>
          <cell r="G54">
            <v>4515</v>
          </cell>
          <cell r="H54" t="str">
            <v>labo</v>
          </cell>
          <cell r="I54">
            <v>3763.08</v>
          </cell>
          <cell r="J54">
            <v>3573</v>
          </cell>
          <cell r="K54" t="str">
            <v>ind_nor</v>
          </cell>
          <cell r="L54">
            <v>3446</v>
          </cell>
          <cell r="M54">
            <v>0</v>
          </cell>
          <cell r="N54">
            <v>0</v>
          </cell>
          <cell r="O54" t="e">
            <v>#N/A</v>
          </cell>
          <cell r="P54" t="e">
            <v>#N/A</v>
          </cell>
        </row>
        <row r="55">
          <cell r="A55" t="str">
            <v>Cambira</v>
          </cell>
          <cell r="B55" t="str">
            <v>var_pr</v>
          </cell>
          <cell r="C55">
            <v>4729.62</v>
          </cell>
          <cell r="D55">
            <v>4729.62</v>
          </cell>
          <cell r="E55" t="str">
            <v>dist</v>
          </cell>
          <cell r="F55">
            <v>4764</v>
          </cell>
          <cell r="G55">
            <v>4515</v>
          </cell>
          <cell r="H55" t="str">
            <v>labo</v>
          </cell>
          <cell r="I55">
            <v>3763.08</v>
          </cell>
          <cell r="J55">
            <v>3573</v>
          </cell>
          <cell r="K55" t="str">
            <v>ind_pr</v>
          </cell>
          <cell r="L55">
            <v>4211.45</v>
          </cell>
          <cell r="M55">
            <v>0</v>
          </cell>
          <cell r="N55">
            <v>0</v>
          </cell>
          <cell r="O55" t="e">
            <v>#N/A</v>
          </cell>
          <cell r="P55" t="e">
            <v>#N/A</v>
          </cell>
        </row>
        <row r="56">
          <cell r="A56" t="str">
            <v>Campina da Lagoa</v>
          </cell>
          <cell r="B56" t="str">
            <v>var_pr</v>
          </cell>
          <cell r="C56">
            <v>4729.62</v>
          </cell>
          <cell r="D56">
            <v>4729.62</v>
          </cell>
          <cell r="E56" t="str">
            <v>dist</v>
          </cell>
          <cell r="F56">
            <v>4764</v>
          </cell>
          <cell r="G56">
            <v>4515</v>
          </cell>
          <cell r="H56" t="str">
            <v>labo</v>
          </cell>
          <cell r="I56">
            <v>3763.08</v>
          </cell>
          <cell r="J56">
            <v>3573</v>
          </cell>
          <cell r="K56" t="str">
            <v>ind_pr</v>
          </cell>
          <cell r="L56">
            <v>4211.45</v>
          </cell>
          <cell r="M56">
            <v>0</v>
          </cell>
          <cell r="N56" t="str">
            <v>hosp_cm</v>
          </cell>
          <cell r="O56">
            <v>4133.2</v>
          </cell>
          <cell r="P56">
            <v>0</v>
          </cell>
        </row>
        <row r="57">
          <cell r="A57" t="str">
            <v>Campina do Simao</v>
          </cell>
          <cell r="B57" t="str">
            <v>var_pr</v>
          </cell>
          <cell r="C57">
            <v>4729.62</v>
          </cell>
          <cell r="D57">
            <v>4729.62</v>
          </cell>
          <cell r="E57" t="str">
            <v>dist</v>
          </cell>
          <cell r="F57">
            <v>4764</v>
          </cell>
          <cell r="G57">
            <v>4515</v>
          </cell>
          <cell r="H57" t="str">
            <v>labo</v>
          </cell>
          <cell r="I57">
            <v>3763.08</v>
          </cell>
          <cell r="J57">
            <v>3573</v>
          </cell>
          <cell r="K57" t="str">
            <v>ind_pr</v>
          </cell>
          <cell r="L57">
            <v>4211.45</v>
          </cell>
          <cell r="M57">
            <v>0</v>
          </cell>
          <cell r="N57" t="str">
            <v>hosp_co</v>
          </cell>
          <cell r="O57">
            <v>3036.29</v>
          </cell>
          <cell r="P57">
            <v>0</v>
          </cell>
        </row>
        <row r="58">
          <cell r="A58" t="str">
            <v>Campina Grande do Sul</v>
          </cell>
          <cell r="B58" t="str">
            <v>var_pr</v>
          </cell>
          <cell r="C58">
            <v>4729.62</v>
          </cell>
          <cell r="D58">
            <v>4729.62</v>
          </cell>
          <cell r="E58" t="str">
            <v>dist</v>
          </cell>
          <cell r="F58">
            <v>4764</v>
          </cell>
          <cell r="G58">
            <v>4515</v>
          </cell>
          <cell r="H58" t="str">
            <v>labo</v>
          </cell>
          <cell r="I58">
            <v>3763.08</v>
          </cell>
          <cell r="J58">
            <v>3573</v>
          </cell>
          <cell r="K58" t="str">
            <v>ind_pr</v>
          </cell>
          <cell r="L58">
            <v>4211.45</v>
          </cell>
          <cell r="M58">
            <v>0</v>
          </cell>
          <cell r="N58" t="str">
            <v>hosp_pr</v>
          </cell>
          <cell r="O58">
            <v>4567</v>
          </cell>
          <cell r="P58">
            <v>0</v>
          </cell>
        </row>
        <row r="59">
          <cell r="A59" t="str">
            <v>Campo Bonito</v>
          </cell>
          <cell r="B59" t="str">
            <v>var_op</v>
          </cell>
          <cell r="C59">
            <v>4653</v>
          </cell>
          <cell r="D59">
            <v>4452</v>
          </cell>
          <cell r="E59" t="str">
            <v>dist</v>
          </cell>
          <cell r="F59">
            <v>4764</v>
          </cell>
          <cell r="G59">
            <v>4515</v>
          </cell>
          <cell r="H59" t="str">
            <v>labo</v>
          </cell>
          <cell r="I59">
            <v>3763.08</v>
          </cell>
          <cell r="J59">
            <v>3573</v>
          </cell>
          <cell r="K59" t="str">
            <v>ind_pr</v>
          </cell>
          <cell r="L59">
            <v>4211.45</v>
          </cell>
          <cell r="M59">
            <v>0</v>
          </cell>
          <cell r="N59">
            <v>0</v>
          </cell>
          <cell r="O59" t="e">
            <v>#N/A</v>
          </cell>
          <cell r="P59" t="e">
            <v>#N/A</v>
          </cell>
        </row>
        <row r="60">
          <cell r="A60" t="str">
            <v>Campo do Tenente</v>
          </cell>
          <cell r="B60" t="str">
            <v>var_pr</v>
          </cell>
          <cell r="C60">
            <v>4729.62</v>
          </cell>
          <cell r="D60">
            <v>4729.62</v>
          </cell>
          <cell r="E60" t="str">
            <v>dist</v>
          </cell>
          <cell r="F60">
            <v>4764</v>
          </cell>
          <cell r="G60">
            <v>4515</v>
          </cell>
          <cell r="H60" t="str">
            <v>labo</v>
          </cell>
          <cell r="I60">
            <v>3763.08</v>
          </cell>
          <cell r="J60">
            <v>3573</v>
          </cell>
          <cell r="K60" t="str">
            <v>ind_pr</v>
          </cell>
          <cell r="L60">
            <v>4211.45</v>
          </cell>
          <cell r="M60">
            <v>0</v>
          </cell>
          <cell r="N60" t="str">
            <v>hosp_pr</v>
          </cell>
          <cell r="O60">
            <v>4567</v>
          </cell>
          <cell r="P60">
            <v>0</v>
          </cell>
        </row>
        <row r="61">
          <cell r="A61" t="str">
            <v>Campo Largo</v>
          </cell>
          <cell r="B61" t="str">
            <v>var_pr</v>
          </cell>
          <cell r="C61">
            <v>4729.62</v>
          </cell>
          <cell r="D61">
            <v>4729.62</v>
          </cell>
          <cell r="E61" t="str">
            <v>dist</v>
          </cell>
          <cell r="F61">
            <v>4764</v>
          </cell>
          <cell r="G61">
            <v>4515</v>
          </cell>
          <cell r="H61" t="str">
            <v>labo</v>
          </cell>
          <cell r="I61">
            <v>3763.08</v>
          </cell>
          <cell r="J61">
            <v>3573</v>
          </cell>
          <cell r="K61" t="str">
            <v>ind_pr</v>
          </cell>
          <cell r="L61">
            <v>4211.45</v>
          </cell>
          <cell r="M61">
            <v>0</v>
          </cell>
          <cell r="N61" t="str">
            <v>hosp_pr</v>
          </cell>
          <cell r="O61">
            <v>4567</v>
          </cell>
          <cell r="P61">
            <v>0</v>
          </cell>
        </row>
        <row r="62">
          <cell r="A62" t="str">
            <v>Campo Magro</v>
          </cell>
          <cell r="B62" t="str">
            <v>var_pr</v>
          </cell>
          <cell r="C62">
            <v>4729.62</v>
          </cell>
          <cell r="D62">
            <v>4729.62</v>
          </cell>
          <cell r="E62" t="str">
            <v>dist</v>
          </cell>
          <cell r="F62">
            <v>4764</v>
          </cell>
          <cell r="G62">
            <v>4515</v>
          </cell>
          <cell r="H62" t="str">
            <v>labo</v>
          </cell>
          <cell r="I62">
            <v>3763.08</v>
          </cell>
          <cell r="J62">
            <v>3573</v>
          </cell>
          <cell r="K62" t="str">
            <v>ind_pr</v>
          </cell>
          <cell r="L62">
            <v>4211.45</v>
          </cell>
          <cell r="M62">
            <v>0</v>
          </cell>
          <cell r="N62">
            <v>0</v>
          </cell>
          <cell r="O62" t="e">
            <v>#N/A</v>
          </cell>
          <cell r="P62" t="e">
            <v>#N/A</v>
          </cell>
        </row>
        <row r="63">
          <cell r="A63" t="str">
            <v>Campo Mourao</v>
          </cell>
          <cell r="B63" t="str">
            <v>var_pr</v>
          </cell>
          <cell r="C63">
            <v>4729.62</v>
          </cell>
          <cell r="D63">
            <v>4729.62</v>
          </cell>
          <cell r="E63" t="str">
            <v>dist</v>
          </cell>
          <cell r="F63">
            <v>4764</v>
          </cell>
          <cell r="G63">
            <v>4515</v>
          </cell>
          <cell r="H63" t="str">
            <v>labo</v>
          </cell>
          <cell r="I63">
            <v>3763.08</v>
          </cell>
          <cell r="J63">
            <v>3573</v>
          </cell>
          <cell r="K63" t="str">
            <v>ind_pr</v>
          </cell>
          <cell r="L63">
            <v>4211.45</v>
          </cell>
          <cell r="M63">
            <v>0</v>
          </cell>
          <cell r="N63" t="str">
            <v>hosp_cm</v>
          </cell>
          <cell r="O63">
            <v>4133.2</v>
          </cell>
          <cell r="P63">
            <v>0</v>
          </cell>
        </row>
        <row r="64">
          <cell r="A64" t="str">
            <v>Candido de Abreu</v>
          </cell>
          <cell r="B64" t="str">
            <v>var_pr</v>
          </cell>
          <cell r="C64">
            <v>4729.62</v>
          </cell>
          <cell r="D64">
            <v>4729.62</v>
          </cell>
          <cell r="E64" t="str">
            <v>dist</v>
          </cell>
          <cell r="F64">
            <v>4764</v>
          </cell>
          <cell r="G64">
            <v>4515</v>
          </cell>
          <cell r="H64" t="str">
            <v>labo</v>
          </cell>
          <cell r="I64">
            <v>3763.08</v>
          </cell>
          <cell r="J64">
            <v>3573</v>
          </cell>
          <cell r="K64" t="str">
            <v>ind_pr</v>
          </cell>
          <cell r="L64">
            <v>4211.45</v>
          </cell>
          <cell r="M64">
            <v>0</v>
          </cell>
          <cell r="N64">
            <v>0</v>
          </cell>
          <cell r="O64" t="e">
            <v>#N/A</v>
          </cell>
          <cell r="P64" t="e">
            <v>#N/A</v>
          </cell>
        </row>
        <row r="65">
          <cell r="A65" t="str">
            <v>Candoi</v>
          </cell>
          <cell r="B65" t="str">
            <v>var_pr</v>
          </cell>
          <cell r="C65">
            <v>4729.62</v>
          </cell>
          <cell r="D65">
            <v>4729.62</v>
          </cell>
          <cell r="E65" t="str">
            <v>dist</v>
          </cell>
          <cell r="F65">
            <v>4764</v>
          </cell>
          <cell r="G65">
            <v>4515</v>
          </cell>
          <cell r="H65" t="str">
            <v>labo</v>
          </cell>
          <cell r="I65">
            <v>3763.08</v>
          </cell>
          <cell r="J65">
            <v>3573</v>
          </cell>
          <cell r="K65" t="str">
            <v>ind_pr</v>
          </cell>
          <cell r="L65">
            <v>4211.45</v>
          </cell>
          <cell r="M65">
            <v>0</v>
          </cell>
          <cell r="N65" t="str">
            <v>hosp_co</v>
          </cell>
          <cell r="O65">
            <v>3036.29</v>
          </cell>
          <cell r="P65">
            <v>0</v>
          </cell>
        </row>
        <row r="66">
          <cell r="A66" t="str">
            <v>Cantagalo</v>
          </cell>
          <cell r="B66" t="str">
            <v>var_pr</v>
          </cell>
          <cell r="C66">
            <v>4729.62</v>
          </cell>
          <cell r="D66">
            <v>4729.62</v>
          </cell>
          <cell r="E66" t="str">
            <v>dist</v>
          </cell>
          <cell r="F66">
            <v>4764</v>
          </cell>
          <cell r="G66">
            <v>4515</v>
          </cell>
          <cell r="H66" t="str">
            <v>labo</v>
          </cell>
          <cell r="I66">
            <v>3763.08</v>
          </cell>
          <cell r="J66">
            <v>3573</v>
          </cell>
          <cell r="K66" t="str">
            <v>ind_pr</v>
          </cell>
          <cell r="L66">
            <v>4211.45</v>
          </cell>
          <cell r="M66">
            <v>0</v>
          </cell>
          <cell r="N66" t="str">
            <v>hosp_co</v>
          </cell>
          <cell r="O66">
            <v>3036.29</v>
          </cell>
          <cell r="P66">
            <v>0</v>
          </cell>
        </row>
        <row r="67">
          <cell r="A67" t="str">
            <v>Capanema</v>
          </cell>
          <cell r="B67" t="str">
            <v>var_pr</v>
          </cell>
          <cell r="C67">
            <v>4729.62</v>
          </cell>
          <cell r="D67">
            <v>4729.62</v>
          </cell>
          <cell r="E67" t="str">
            <v>dist</v>
          </cell>
          <cell r="F67">
            <v>4764</v>
          </cell>
          <cell r="G67">
            <v>4515</v>
          </cell>
          <cell r="H67" t="str">
            <v>labo</v>
          </cell>
          <cell r="I67">
            <v>3763.08</v>
          </cell>
          <cell r="J67">
            <v>3573</v>
          </cell>
          <cell r="K67" t="str">
            <v>ind_pr</v>
          </cell>
          <cell r="L67">
            <v>4211.45</v>
          </cell>
          <cell r="M67">
            <v>0</v>
          </cell>
          <cell r="N67" t="str">
            <v>hosp_sudpr</v>
          </cell>
          <cell r="O67">
            <v>1760</v>
          </cell>
          <cell r="P67">
            <v>0</v>
          </cell>
        </row>
        <row r="68">
          <cell r="A68" t="str">
            <v>Capitao Leonidas Marques</v>
          </cell>
          <cell r="B68" t="str">
            <v>var_op</v>
          </cell>
          <cell r="C68">
            <v>4653</v>
          </cell>
          <cell r="D68">
            <v>4452</v>
          </cell>
          <cell r="E68" t="str">
            <v>dist</v>
          </cell>
          <cell r="F68">
            <v>4764</v>
          </cell>
          <cell r="G68">
            <v>4515</v>
          </cell>
          <cell r="H68" t="str">
            <v>labo</v>
          </cell>
          <cell r="I68">
            <v>3763.08</v>
          </cell>
          <cell r="J68">
            <v>3573</v>
          </cell>
          <cell r="K68" t="str">
            <v>ind_pr</v>
          </cell>
          <cell r="L68">
            <v>4211.45</v>
          </cell>
          <cell r="M68">
            <v>0</v>
          </cell>
          <cell r="N68">
            <v>0</v>
          </cell>
          <cell r="O68" t="e">
            <v>#N/A</v>
          </cell>
          <cell r="P68" t="e">
            <v>#N/A</v>
          </cell>
        </row>
        <row r="69">
          <cell r="A69" t="str">
            <v>Carambei</v>
          </cell>
          <cell r="B69" t="str">
            <v>var_pr</v>
          </cell>
          <cell r="C69">
            <v>4729.62</v>
          </cell>
          <cell r="D69">
            <v>4729.62</v>
          </cell>
          <cell r="E69" t="str">
            <v>dist</v>
          </cell>
          <cell r="F69">
            <v>4764</v>
          </cell>
          <cell r="G69">
            <v>4515</v>
          </cell>
          <cell r="H69" t="str">
            <v>labo</v>
          </cell>
          <cell r="I69">
            <v>3763.08</v>
          </cell>
          <cell r="J69">
            <v>3573</v>
          </cell>
          <cell r="K69" t="str">
            <v>ind_pr</v>
          </cell>
          <cell r="L69">
            <v>4211.45</v>
          </cell>
          <cell r="M69">
            <v>0</v>
          </cell>
          <cell r="N69">
            <v>0</v>
          </cell>
          <cell r="O69" t="e">
            <v>#N/A</v>
          </cell>
          <cell r="P69" t="e">
            <v>#N/A</v>
          </cell>
        </row>
        <row r="70">
          <cell r="A70" t="str">
            <v>Carlopolis</v>
          </cell>
          <cell r="B70" t="str">
            <v>var_sto</v>
          </cell>
          <cell r="C70">
            <v>5030</v>
          </cell>
          <cell r="D70">
            <v>5030</v>
          </cell>
          <cell r="E70" t="str">
            <v>dist</v>
          </cell>
          <cell r="F70">
            <v>4764</v>
          </cell>
          <cell r="G70">
            <v>4515</v>
          </cell>
          <cell r="H70" t="str">
            <v>labo</v>
          </cell>
          <cell r="I70">
            <v>3763.08</v>
          </cell>
          <cell r="J70">
            <v>3573</v>
          </cell>
          <cell r="K70" t="str">
            <v>ind_pr</v>
          </cell>
          <cell r="L70">
            <v>4211.45</v>
          </cell>
          <cell r="M70">
            <v>0</v>
          </cell>
          <cell r="N70" t="str">
            <v>hosp_nor</v>
          </cell>
          <cell r="O70">
            <v>1760</v>
          </cell>
          <cell r="P70">
            <v>0</v>
          </cell>
        </row>
        <row r="71">
          <cell r="A71" t="str">
            <v>Cascavel</v>
          </cell>
          <cell r="B71" t="str">
            <v>var_op</v>
          </cell>
          <cell r="C71">
            <v>4653</v>
          </cell>
          <cell r="D71">
            <v>4452</v>
          </cell>
          <cell r="E71" t="str">
            <v>dist</v>
          </cell>
          <cell r="F71">
            <v>4764</v>
          </cell>
          <cell r="G71">
            <v>4515</v>
          </cell>
          <cell r="H71" t="str">
            <v>labo</v>
          </cell>
          <cell r="I71">
            <v>3763.08</v>
          </cell>
          <cell r="J71">
            <v>3573</v>
          </cell>
          <cell r="K71" t="str">
            <v>ind_pr</v>
          </cell>
          <cell r="L71">
            <v>4211.45</v>
          </cell>
          <cell r="M71">
            <v>0</v>
          </cell>
          <cell r="N71">
            <v>0</v>
          </cell>
          <cell r="O71" t="e">
            <v>#N/A</v>
          </cell>
          <cell r="P71" t="e">
            <v>#N/A</v>
          </cell>
        </row>
        <row r="72">
          <cell r="A72" t="str">
            <v>Castro</v>
          </cell>
          <cell r="B72" t="str">
            <v>var_pr</v>
          </cell>
          <cell r="C72">
            <v>4729.62</v>
          </cell>
          <cell r="D72">
            <v>4729.62</v>
          </cell>
          <cell r="E72" t="str">
            <v>dist</v>
          </cell>
          <cell r="F72">
            <v>4764</v>
          </cell>
          <cell r="G72">
            <v>4515</v>
          </cell>
          <cell r="H72" t="str">
            <v>labo</v>
          </cell>
          <cell r="I72">
            <v>3763.08</v>
          </cell>
          <cell r="J72">
            <v>3573</v>
          </cell>
          <cell r="K72" t="str">
            <v>ind_pr</v>
          </cell>
          <cell r="L72">
            <v>4211.45</v>
          </cell>
          <cell r="M72">
            <v>0</v>
          </cell>
          <cell r="N72">
            <v>0</v>
          </cell>
          <cell r="O72" t="e">
            <v>#N/A</v>
          </cell>
          <cell r="P72" t="e">
            <v>#N/A</v>
          </cell>
        </row>
        <row r="73">
          <cell r="A73" t="str">
            <v>Catanduvas</v>
          </cell>
          <cell r="B73" t="str">
            <v>var_op</v>
          </cell>
          <cell r="C73">
            <v>4653</v>
          </cell>
          <cell r="D73">
            <v>4452</v>
          </cell>
          <cell r="E73" t="str">
            <v>dist</v>
          </cell>
          <cell r="F73">
            <v>4764</v>
          </cell>
          <cell r="G73">
            <v>4515</v>
          </cell>
          <cell r="H73" t="str">
            <v>labo</v>
          </cell>
          <cell r="I73">
            <v>3763.08</v>
          </cell>
          <cell r="J73">
            <v>3573</v>
          </cell>
          <cell r="K73" t="str">
            <v>ind_pr</v>
          </cell>
          <cell r="L73">
            <v>4211.45</v>
          </cell>
          <cell r="M73">
            <v>0</v>
          </cell>
          <cell r="N73">
            <v>0</v>
          </cell>
          <cell r="O73" t="e">
            <v>#N/A</v>
          </cell>
          <cell r="P73" t="e">
            <v>#N/A</v>
          </cell>
        </row>
        <row r="74">
          <cell r="A74" t="str">
            <v>Centenario do Sul</v>
          </cell>
          <cell r="B74" t="str">
            <v>var_ld</v>
          </cell>
          <cell r="C74">
            <v>4750</v>
          </cell>
          <cell r="D74">
            <v>4527</v>
          </cell>
          <cell r="E74" t="str">
            <v>dist</v>
          </cell>
          <cell r="F74">
            <v>4764</v>
          </cell>
          <cell r="G74">
            <v>4515</v>
          </cell>
          <cell r="H74" t="str">
            <v>labo</v>
          </cell>
          <cell r="I74">
            <v>3763.08</v>
          </cell>
          <cell r="J74">
            <v>3573</v>
          </cell>
          <cell r="K74" t="str">
            <v>ind_pr</v>
          </cell>
          <cell r="L74">
            <v>4211.45</v>
          </cell>
          <cell r="M74">
            <v>0</v>
          </cell>
          <cell r="N74">
            <v>0</v>
          </cell>
          <cell r="O74" t="e">
            <v>#N/A</v>
          </cell>
          <cell r="P74" t="e">
            <v>#N/A</v>
          </cell>
        </row>
        <row r="75">
          <cell r="A75" t="str">
            <v>Cerro Azul</v>
          </cell>
          <cell r="B75" t="str">
            <v>var_pr</v>
          </cell>
          <cell r="C75">
            <v>4729.62</v>
          </cell>
          <cell r="D75">
            <v>4729.62</v>
          </cell>
          <cell r="E75" t="str">
            <v>dist</v>
          </cell>
          <cell r="F75">
            <v>4764</v>
          </cell>
          <cell r="G75">
            <v>4515</v>
          </cell>
          <cell r="H75" t="str">
            <v>labo</v>
          </cell>
          <cell r="I75">
            <v>3763.08</v>
          </cell>
          <cell r="J75">
            <v>3573</v>
          </cell>
          <cell r="K75" t="str">
            <v>ind_pr</v>
          </cell>
          <cell r="L75">
            <v>4211.45</v>
          </cell>
          <cell r="M75">
            <v>0</v>
          </cell>
          <cell r="N75" t="str">
            <v>hosp_pr</v>
          </cell>
          <cell r="O75">
            <v>4567</v>
          </cell>
          <cell r="P75">
            <v>0</v>
          </cell>
        </row>
        <row r="76">
          <cell r="A76" t="str">
            <v>Ceu Azul</v>
          </cell>
          <cell r="B76" t="str">
            <v>var_op</v>
          </cell>
          <cell r="C76">
            <v>4653</v>
          </cell>
          <cell r="D76">
            <v>4452</v>
          </cell>
          <cell r="E76" t="str">
            <v>dist</v>
          </cell>
          <cell r="F76">
            <v>4764</v>
          </cell>
          <cell r="G76">
            <v>4515</v>
          </cell>
          <cell r="H76" t="str">
            <v>labo</v>
          </cell>
          <cell r="I76">
            <v>3763.08</v>
          </cell>
          <cell r="J76">
            <v>3573</v>
          </cell>
          <cell r="K76" t="str">
            <v>ind_pr</v>
          </cell>
          <cell r="L76">
            <v>4211.45</v>
          </cell>
          <cell r="M76">
            <v>0</v>
          </cell>
          <cell r="N76">
            <v>0</v>
          </cell>
          <cell r="O76" t="e">
            <v>#N/A</v>
          </cell>
          <cell r="P76" t="e">
            <v>#N/A</v>
          </cell>
        </row>
        <row r="77">
          <cell r="A77" t="str">
            <v>Chopinzinho</v>
          </cell>
          <cell r="B77" t="str">
            <v>var_pr</v>
          </cell>
          <cell r="C77">
            <v>4729.62</v>
          </cell>
          <cell r="D77">
            <v>4729.62</v>
          </cell>
          <cell r="E77" t="str">
            <v>dist</v>
          </cell>
          <cell r="F77">
            <v>4764</v>
          </cell>
          <cell r="G77">
            <v>4515</v>
          </cell>
          <cell r="H77" t="str">
            <v>labo</v>
          </cell>
          <cell r="I77">
            <v>3763.08</v>
          </cell>
          <cell r="J77">
            <v>3573</v>
          </cell>
          <cell r="K77" t="str">
            <v>ind_pr</v>
          </cell>
          <cell r="L77">
            <v>4211.45</v>
          </cell>
          <cell r="M77">
            <v>0</v>
          </cell>
          <cell r="N77" t="str">
            <v>hosp_pb</v>
          </cell>
          <cell r="O77">
            <v>1760</v>
          </cell>
          <cell r="P77">
            <v>0</v>
          </cell>
        </row>
        <row r="78">
          <cell r="A78" t="str">
            <v>Cianorte</v>
          </cell>
          <cell r="B78" t="str">
            <v>var_pr</v>
          </cell>
          <cell r="C78">
            <v>4729.62</v>
          </cell>
          <cell r="D78">
            <v>4729.62</v>
          </cell>
          <cell r="E78" t="str">
            <v>dist</v>
          </cell>
          <cell r="F78">
            <v>4764</v>
          </cell>
          <cell r="G78">
            <v>4515</v>
          </cell>
          <cell r="H78" t="str">
            <v>labo</v>
          </cell>
          <cell r="I78">
            <v>3763.08</v>
          </cell>
          <cell r="J78">
            <v>3573</v>
          </cell>
          <cell r="K78" t="str">
            <v>ind_pr</v>
          </cell>
          <cell r="L78">
            <v>4211.45</v>
          </cell>
          <cell r="M78">
            <v>0</v>
          </cell>
          <cell r="N78" t="str">
            <v>hosp_cia</v>
          </cell>
          <cell r="O78">
            <v>4003.87</v>
          </cell>
          <cell r="P78">
            <v>0</v>
          </cell>
        </row>
        <row r="79">
          <cell r="A79" t="str">
            <v>Cidade Gaucha</v>
          </cell>
          <cell r="B79" t="str">
            <v>var_pr</v>
          </cell>
          <cell r="C79">
            <v>4729.62</v>
          </cell>
          <cell r="D79">
            <v>4729.62</v>
          </cell>
          <cell r="E79" t="str">
            <v>dist</v>
          </cell>
          <cell r="F79">
            <v>4764</v>
          </cell>
          <cell r="G79">
            <v>4515</v>
          </cell>
          <cell r="H79" t="str">
            <v>labo</v>
          </cell>
          <cell r="I79">
            <v>3763.08</v>
          </cell>
          <cell r="J79">
            <v>3573</v>
          </cell>
          <cell r="K79" t="str">
            <v>ind_pr</v>
          </cell>
          <cell r="L79">
            <v>4211.45</v>
          </cell>
          <cell r="M79">
            <v>0</v>
          </cell>
          <cell r="N79" t="str">
            <v>hosp_cia</v>
          </cell>
          <cell r="O79">
            <v>4003.87</v>
          </cell>
          <cell r="P79">
            <v>0</v>
          </cell>
        </row>
        <row r="80">
          <cell r="A80" t="str">
            <v>Clevelandia</v>
          </cell>
          <cell r="B80" t="str">
            <v>var_pr</v>
          </cell>
          <cell r="C80">
            <v>4729.62</v>
          </cell>
          <cell r="D80">
            <v>4729.62</v>
          </cell>
          <cell r="E80" t="str">
            <v>dist</v>
          </cell>
          <cell r="F80">
            <v>4764</v>
          </cell>
          <cell r="G80">
            <v>4515</v>
          </cell>
          <cell r="H80" t="str">
            <v>labo</v>
          </cell>
          <cell r="I80">
            <v>3763.08</v>
          </cell>
          <cell r="J80">
            <v>3573</v>
          </cell>
          <cell r="K80" t="str">
            <v>ind_pr</v>
          </cell>
          <cell r="L80">
            <v>4211.45</v>
          </cell>
          <cell r="M80">
            <v>0</v>
          </cell>
          <cell r="N80" t="str">
            <v>hosp_pb</v>
          </cell>
          <cell r="O80">
            <v>1760</v>
          </cell>
          <cell r="P80">
            <v>0</v>
          </cell>
        </row>
        <row r="81">
          <cell r="A81" t="str">
            <v>Colombo</v>
          </cell>
          <cell r="B81" t="str">
            <v>var_pr</v>
          </cell>
          <cell r="C81">
            <v>4729.62</v>
          </cell>
          <cell r="D81">
            <v>4729.62</v>
          </cell>
          <cell r="E81" t="str">
            <v>dist</v>
          </cell>
          <cell r="F81">
            <v>4764</v>
          </cell>
          <cell r="G81">
            <v>4515</v>
          </cell>
          <cell r="H81" t="str">
            <v>labo</v>
          </cell>
          <cell r="I81">
            <v>3763.08</v>
          </cell>
          <cell r="J81">
            <v>3573</v>
          </cell>
          <cell r="K81" t="str">
            <v>ind_pr</v>
          </cell>
          <cell r="L81">
            <v>4211.45</v>
          </cell>
          <cell r="M81">
            <v>0</v>
          </cell>
          <cell r="N81" t="str">
            <v>hosp_pr</v>
          </cell>
          <cell r="O81">
            <v>4567</v>
          </cell>
          <cell r="P81">
            <v>0</v>
          </cell>
        </row>
        <row r="82">
          <cell r="A82" t="str">
            <v>Colorado</v>
          </cell>
          <cell r="B82" t="str">
            <v>var_pr</v>
          </cell>
          <cell r="C82">
            <v>4729.62</v>
          </cell>
          <cell r="D82">
            <v>4729.62</v>
          </cell>
          <cell r="E82" t="str">
            <v>dist</v>
          </cell>
          <cell r="F82">
            <v>4764</v>
          </cell>
          <cell r="G82">
            <v>4515</v>
          </cell>
          <cell r="H82" t="str">
            <v>labo</v>
          </cell>
          <cell r="I82">
            <v>3763.08</v>
          </cell>
          <cell r="J82">
            <v>3573</v>
          </cell>
          <cell r="K82" t="str">
            <v>ind_pr</v>
          </cell>
          <cell r="L82">
            <v>4211.45</v>
          </cell>
          <cell r="M82">
            <v>0</v>
          </cell>
          <cell r="N82" t="str">
            <v>hosp_mg</v>
          </cell>
          <cell r="O82">
            <v>3888.38</v>
          </cell>
          <cell r="P82">
            <v>0</v>
          </cell>
        </row>
        <row r="83">
          <cell r="A83" t="str">
            <v>Congonhinhas</v>
          </cell>
          <cell r="B83" t="str">
            <v>var_pr</v>
          </cell>
          <cell r="C83">
            <v>4729.62</v>
          </cell>
          <cell r="D83">
            <v>4729.62</v>
          </cell>
          <cell r="E83" t="str">
            <v>dist</v>
          </cell>
          <cell r="F83">
            <v>4764</v>
          </cell>
          <cell r="G83">
            <v>4515</v>
          </cell>
          <cell r="H83" t="str">
            <v>labo</v>
          </cell>
          <cell r="I83">
            <v>3763.08</v>
          </cell>
          <cell r="J83">
            <v>3573</v>
          </cell>
          <cell r="K83" t="str">
            <v>ind_pr</v>
          </cell>
          <cell r="L83">
            <v>4211.45</v>
          </cell>
          <cell r="M83">
            <v>0</v>
          </cell>
          <cell r="N83">
            <v>0</v>
          </cell>
          <cell r="O83" t="e">
            <v>#N/A</v>
          </cell>
          <cell r="P83" t="e">
            <v>#N/A</v>
          </cell>
        </row>
        <row r="84">
          <cell r="A84" t="str">
            <v>Conselheiro Mairinck</v>
          </cell>
          <cell r="B84" t="str">
            <v>var_sto</v>
          </cell>
          <cell r="C84">
            <v>5030</v>
          </cell>
          <cell r="D84">
            <v>5030</v>
          </cell>
          <cell r="E84" t="str">
            <v>dist</v>
          </cell>
          <cell r="F84">
            <v>4764</v>
          </cell>
          <cell r="G84">
            <v>4515</v>
          </cell>
          <cell r="H84" t="str">
            <v>labo</v>
          </cell>
          <cell r="I84">
            <v>3763.08</v>
          </cell>
          <cell r="J84">
            <v>3573</v>
          </cell>
          <cell r="K84" t="str">
            <v>ind_pr</v>
          </cell>
          <cell r="L84">
            <v>4211.45</v>
          </cell>
          <cell r="M84">
            <v>0</v>
          </cell>
          <cell r="N84" t="str">
            <v>hosp_nor</v>
          </cell>
          <cell r="O84">
            <v>1760</v>
          </cell>
          <cell r="P84">
            <v>0</v>
          </cell>
        </row>
        <row r="85">
          <cell r="A85" t="str">
            <v>Contenda</v>
          </cell>
          <cell r="B85" t="str">
            <v>var_pr</v>
          </cell>
          <cell r="C85">
            <v>4729.62</v>
          </cell>
          <cell r="D85">
            <v>4729.62</v>
          </cell>
          <cell r="E85" t="str">
            <v>dist</v>
          </cell>
          <cell r="F85">
            <v>4764</v>
          </cell>
          <cell r="G85">
            <v>4515</v>
          </cell>
          <cell r="H85" t="str">
            <v>labo</v>
          </cell>
          <cell r="I85">
            <v>3763.08</v>
          </cell>
          <cell r="J85">
            <v>3573</v>
          </cell>
          <cell r="K85" t="str">
            <v>ind_pr</v>
          </cell>
          <cell r="L85">
            <v>4211.45</v>
          </cell>
          <cell r="M85">
            <v>0</v>
          </cell>
          <cell r="N85" t="str">
            <v>hosp_pr</v>
          </cell>
          <cell r="O85">
            <v>4567</v>
          </cell>
          <cell r="P85">
            <v>0</v>
          </cell>
        </row>
        <row r="86">
          <cell r="A86" t="str">
            <v>Corbelia</v>
          </cell>
          <cell r="B86" t="str">
            <v>var_op</v>
          </cell>
          <cell r="C86">
            <v>4653</v>
          </cell>
          <cell r="D86">
            <v>4452</v>
          </cell>
          <cell r="E86" t="str">
            <v>dist</v>
          </cell>
          <cell r="F86">
            <v>4764</v>
          </cell>
          <cell r="G86">
            <v>4515</v>
          </cell>
          <cell r="H86" t="str">
            <v>labo</v>
          </cell>
          <cell r="I86">
            <v>3763.08</v>
          </cell>
          <cell r="J86">
            <v>3573</v>
          </cell>
          <cell r="K86" t="str">
            <v>ind_pr</v>
          </cell>
          <cell r="L86">
            <v>4211.45</v>
          </cell>
          <cell r="M86">
            <v>0</v>
          </cell>
          <cell r="N86">
            <v>0</v>
          </cell>
          <cell r="O86" t="e">
            <v>#N/A</v>
          </cell>
          <cell r="P86" t="e">
            <v>#N/A</v>
          </cell>
        </row>
        <row r="87">
          <cell r="A87" t="str">
            <v>Cornelio Procopio</v>
          </cell>
          <cell r="B87" t="str">
            <v>var_ld</v>
          </cell>
          <cell r="C87">
            <v>4750</v>
          </cell>
          <cell r="D87">
            <v>4527</v>
          </cell>
          <cell r="E87" t="str">
            <v>dist</v>
          </cell>
          <cell r="F87">
            <v>4764</v>
          </cell>
          <cell r="G87">
            <v>4515</v>
          </cell>
          <cell r="H87" t="str">
            <v>labo</v>
          </cell>
          <cell r="I87">
            <v>3763.08</v>
          </cell>
          <cell r="J87">
            <v>3573</v>
          </cell>
          <cell r="K87" t="str">
            <v>ind_pr</v>
          </cell>
          <cell r="L87">
            <v>4211.45</v>
          </cell>
          <cell r="M87">
            <v>0</v>
          </cell>
          <cell r="N87" t="str">
            <v>hosp_cp</v>
          </cell>
          <cell r="O87">
            <v>1600</v>
          </cell>
          <cell r="P87">
            <v>0</v>
          </cell>
        </row>
        <row r="88">
          <cell r="A88" t="str">
            <v>Coronel Domingos Soares</v>
          </cell>
          <cell r="B88" t="str">
            <v>var_pr</v>
          </cell>
          <cell r="C88">
            <v>4729.62</v>
          </cell>
          <cell r="D88">
            <v>4729.62</v>
          </cell>
          <cell r="E88" t="str">
            <v>dist</v>
          </cell>
          <cell r="F88">
            <v>4764</v>
          </cell>
          <cell r="G88">
            <v>4515</v>
          </cell>
          <cell r="H88" t="str">
            <v>labo</v>
          </cell>
          <cell r="I88">
            <v>3763.08</v>
          </cell>
          <cell r="J88">
            <v>3573</v>
          </cell>
          <cell r="K88" t="str">
            <v>ind_pr</v>
          </cell>
          <cell r="L88">
            <v>4211.45</v>
          </cell>
          <cell r="M88">
            <v>0</v>
          </cell>
          <cell r="N88" t="str">
            <v>hosp_pb</v>
          </cell>
          <cell r="O88">
            <v>1760</v>
          </cell>
          <cell r="P88">
            <v>0</v>
          </cell>
        </row>
        <row r="89">
          <cell r="A89" t="str">
            <v>Coronel Vivida</v>
          </cell>
          <cell r="B89" t="str">
            <v>var_pr</v>
          </cell>
          <cell r="C89">
            <v>4729.62</v>
          </cell>
          <cell r="D89">
            <v>4729.62</v>
          </cell>
          <cell r="E89" t="str">
            <v>dist</v>
          </cell>
          <cell r="F89">
            <v>4764</v>
          </cell>
          <cell r="G89">
            <v>4515</v>
          </cell>
          <cell r="H89" t="str">
            <v>labo</v>
          </cell>
          <cell r="I89">
            <v>3763.08</v>
          </cell>
          <cell r="J89">
            <v>3573</v>
          </cell>
          <cell r="K89" t="str">
            <v>ind_pr</v>
          </cell>
          <cell r="L89">
            <v>4211.45</v>
          </cell>
          <cell r="M89">
            <v>0</v>
          </cell>
          <cell r="N89" t="str">
            <v>hosp_pb</v>
          </cell>
          <cell r="O89">
            <v>1760</v>
          </cell>
          <cell r="P89">
            <v>0</v>
          </cell>
        </row>
        <row r="90">
          <cell r="A90" t="str">
            <v>Corumbatai do Sul</v>
          </cell>
          <cell r="B90" t="str">
            <v>var_pr</v>
          </cell>
          <cell r="C90">
            <v>4729.62</v>
          </cell>
          <cell r="D90">
            <v>4729.62</v>
          </cell>
          <cell r="E90" t="str">
            <v>dist</v>
          </cell>
          <cell r="F90">
            <v>4764</v>
          </cell>
          <cell r="G90">
            <v>4515</v>
          </cell>
          <cell r="H90" t="str">
            <v>labo</v>
          </cell>
          <cell r="I90">
            <v>3763.08</v>
          </cell>
          <cell r="J90">
            <v>3573</v>
          </cell>
          <cell r="K90" t="str">
            <v>ind_pr</v>
          </cell>
          <cell r="L90">
            <v>4211.45</v>
          </cell>
          <cell r="M90">
            <v>0</v>
          </cell>
          <cell r="N90" t="str">
            <v>hosp_cm</v>
          </cell>
          <cell r="O90">
            <v>4133.2</v>
          </cell>
          <cell r="P90">
            <v>0</v>
          </cell>
        </row>
        <row r="91">
          <cell r="A91" t="str">
            <v>Cruz Machado</v>
          </cell>
          <cell r="B91" t="str">
            <v>var_pr</v>
          </cell>
          <cell r="C91">
            <v>4729.62</v>
          </cell>
          <cell r="D91">
            <v>4729.62</v>
          </cell>
          <cell r="E91" t="str">
            <v>dist</v>
          </cell>
          <cell r="F91">
            <v>4764</v>
          </cell>
          <cell r="G91">
            <v>4515</v>
          </cell>
          <cell r="H91" t="str">
            <v>labo</v>
          </cell>
          <cell r="I91">
            <v>3763.08</v>
          </cell>
          <cell r="J91">
            <v>3573</v>
          </cell>
          <cell r="K91" t="str">
            <v>ind_pr</v>
          </cell>
          <cell r="L91">
            <v>4211.45</v>
          </cell>
          <cell r="M91">
            <v>0</v>
          </cell>
          <cell r="N91">
            <v>0</v>
          </cell>
          <cell r="O91" t="e">
            <v>#N/A</v>
          </cell>
          <cell r="P91" t="e">
            <v>#N/A</v>
          </cell>
        </row>
        <row r="92">
          <cell r="A92" t="str">
            <v>Cruzeiro do Iguaçu</v>
          </cell>
          <cell r="B92" t="str">
            <v>var_pr</v>
          </cell>
          <cell r="C92">
            <v>4729.62</v>
          </cell>
          <cell r="D92">
            <v>4729.62</v>
          </cell>
          <cell r="E92" t="str">
            <v>dist</v>
          </cell>
          <cell r="F92">
            <v>4764</v>
          </cell>
          <cell r="G92">
            <v>4515</v>
          </cell>
          <cell r="H92" t="str">
            <v>labo</v>
          </cell>
          <cell r="I92">
            <v>3763.08</v>
          </cell>
          <cell r="J92">
            <v>3573</v>
          </cell>
          <cell r="K92" t="str">
            <v>ind_pr</v>
          </cell>
          <cell r="L92">
            <v>4211.45</v>
          </cell>
          <cell r="M92">
            <v>0</v>
          </cell>
          <cell r="N92" t="str">
            <v>hosp_sudpr</v>
          </cell>
          <cell r="O92">
            <v>1760</v>
          </cell>
          <cell r="P92">
            <v>0</v>
          </cell>
        </row>
        <row r="93">
          <cell r="A93" t="str">
            <v>Cruzeiro do Oeste</v>
          </cell>
          <cell r="B93" t="str">
            <v>var_pr</v>
          </cell>
          <cell r="C93">
            <v>4729.62</v>
          </cell>
          <cell r="D93">
            <v>4729.62</v>
          </cell>
          <cell r="E93" t="str">
            <v>dist</v>
          </cell>
          <cell r="F93">
            <v>4764</v>
          </cell>
          <cell r="G93">
            <v>4515</v>
          </cell>
          <cell r="H93" t="str">
            <v>labo</v>
          </cell>
          <cell r="I93">
            <v>3763.08</v>
          </cell>
          <cell r="J93">
            <v>3573</v>
          </cell>
          <cell r="K93" t="str">
            <v>ind_pr</v>
          </cell>
          <cell r="L93">
            <v>4211.45</v>
          </cell>
          <cell r="M93">
            <v>0</v>
          </cell>
          <cell r="N93" t="str">
            <v>hosp_umu</v>
          </cell>
          <cell r="O93">
            <v>2428.5500000000002</v>
          </cell>
          <cell r="P93">
            <v>0</v>
          </cell>
        </row>
        <row r="94">
          <cell r="A94" t="str">
            <v>Cruzeiro do Sul</v>
          </cell>
          <cell r="B94" t="str">
            <v>var_par</v>
          </cell>
          <cell r="C94">
            <v>4846</v>
          </cell>
          <cell r="D94">
            <v>4846</v>
          </cell>
          <cell r="E94" t="str">
            <v>dist</v>
          </cell>
          <cell r="F94">
            <v>4764</v>
          </cell>
          <cell r="G94">
            <v>4515</v>
          </cell>
          <cell r="H94" t="str">
            <v>labo</v>
          </cell>
          <cell r="I94">
            <v>3763.08</v>
          </cell>
          <cell r="J94">
            <v>3573</v>
          </cell>
          <cell r="K94" t="str">
            <v>ind_pr</v>
          </cell>
          <cell r="L94">
            <v>4211.45</v>
          </cell>
          <cell r="M94">
            <v>0</v>
          </cell>
          <cell r="N94">
            <v>0</v>
          </cell>
          <cell r="O94" t="e">
            <v>#N/A</v>
          </cell>
          <cell r="P94" t="e">
            <v>#N/A</v>
          </cell>
        </row>
        <row r="95">
          <cell r="A95" t="str">
            <v>Cruzmaltina</v>
          </cell>
          <cell r="B95" t="str">
            <v>var_pr</v>
          </cell>
          <cell r="C95">
            <v>4729.62</v>
          </cell>
          <cell r="D95">
            <v>4729.62</v>
          </cell>
          <cell r="E95" t="str">
            <v>dist</v>
          </cell>
          <cell r="F95">
            <v>4764</v>
          </cell>
          <cell r="G95">
            <v>4515</v>
          </cell>
          <cell r="H95" t="str">
            <v>labo</v>
          </cell>
          <cell r="I95">
            <v>3763.08</v>
          </cell>
          <cell r="J95">
            <v>3573</v>
          </cell>
          <cell r="K95" t="str">
            <v>ind_pr</v>
          </cell>
          <cell r="L95">
            <v>4211.45</v>
          </cell>
          <cell r="M95">
            <v>0</v>
          </cell>
          <cell r="N95">
            <v>0</v>
          </cell>
          <cell r="O95" t="e">
            <v>#N/A</v>
          </cell>
          <cell r="P95" t="e">
            <v>#N/A</v>
          </cell>
        </row>
        <row r="96">
          <cell r="A96" t="str">
            <v>Curitiba</v>
          </cell>
          <cell r="B96" t="str">
            <v>var_pr</v>
          </cell>
          <cell r="C96">
            <v>4729.62</v>
          </cell>
          <cell r="D96">
            <v>4729.62</v>
          </cell>
          <cell r="E96" t="str">
            <v>dist</v>
          </cell>
          <cell r="F96">
            <v>4764</v>
          </cell>
          <cell r="G96">
            <v>4515</v>
          </cell>
          <cell r="H96" t="str">
            <v>labo</v>
          </cell>
          <cell r="I96">
            <v>3763.08</v>
          </cell>
          <cell r="J96">
            <v>3573</v>
          </cell>
          <cell r="K96" t="str">
            <v>ind_pr</v>
          </cell>
          <cell r="L96">
            <v>4211.45</v>
          </cell>
          <cell r="M96">
            <v>0</v>
          </cell>
          <cell r="N96" t="str">
            <v>hosp_pr</v>
          </cell>
          <cell r="O96">
            <v>4567</v>
          </cell>
          <cell r="P96">
            <v>0</v>
          </cell>
        </row>
        <row r="97">
          <cell r="A97" t="str">
            <v>Curiuva</v>
          </cell>
          <cell r="B97" t="str">
            <v>var_pr</v>
          </cell>
          <cell r="C97">
            <v>4729.62</v>
          </cell>
          <cell r="D97">
            <v>4729.62</v>
          </cell>
          <cell r="E97" t="str">
            <v>dist</v>
          </cell>
          <cell r="F97">
            <v>4764</v>
          </cell>
          <cell r="G97">
            <v>4515</v>
          </cell>
          <cell r="H97" t="str">
            <v>labo</v>
          </cell>
          <cell r="I97">
            <v>3763.08</v>
          </cell>
          <cell r="J97">
            <v>3573</v>
          </cell>
          <cell r="K97" t="str">
            <v>ind_pr</v>
          </cell>
          <cell r="L97">
            <v>4211.45</v>
          </cell>
          <cell r="M97">
            <v>0</v>
          </cell>
          <cell r="N97" t="str">
            <v>hosp_nor</v>
          </cell>
          <cell r="O97">
            <v>1760</v>
          </cell>
          <cell r="P97">
            <v>0</v>
          </cell>
        </row>
        <row r="98">
          <cell r="A98" t="str">
            <v>Diamante do Norte</v>
          </cell>
          <cell r="B98" t="str">
            <v>var_par</v>
          </cell>
          <cell r="C98">
            <v>4846</v>
          </cell>
          <cell r="D98">
            <v>4846</v>
          </cell>
          <cell r="E98" t="str">
            <v>dist</v>
          </cell>
          <cell r="F98">
            <v>4764</v>
          </cell>
          <cell r="G98">
            <v>4515</v>
          </cell>
          <cell r="H98" t="str">
            <v>labo</v>
          </cell>
          <cell r="I98">
            <v>3763.08</v>
          </cell>
          <cell r="J98">
            <v>3573</v>
          </cell>
          <cell r="K98" t="str">
            <v>ind_pr</v>
          </cell>
          <cell r="L98">
            <v>4211.45</v>
          </cell>
          <cell r="M98">
            <v>0</v>
          </cell>
          <cell r="N98" t="str">
            <v>hosp_pr</v>
          </cell>
          <cell r="O98">
            <v>4567</v>
          </cell>
          <cell r="P98">
            <v>0</v>
          </cell>
        </row>
        <row r="99">
          <cell r="A99" t="str">
            <v>Diamante do Oeste</v>
          </cell>
          <cell r="B99" t="str">
            <v>var_op</v>
          </cell>
          <cell r="C99">
            <v>4653</v>
          </cell>
          <cell r="D99">
            <v>4452</v>
          </cell>
          <cell r="E99" t="str">
            <v>dist</v>
          </cell>
          <cell r="F99">
            <v>4764</v>
          </cell>
          <cell r="G99">
            <v>4515</v>
          </cell>
          <cell r="H99" t="str">
            <v>labo</v>
          </cell>
          <cell r="I99">
            <v>3763.08</v>
          </cell>
          <cell r="J99">
            <v>3573</v>
          </cell>
          <cell r="K99" t="str">
            <v>ind_pr</v>
          </cell>
          <cell r="L99">
            <v>4211.45</v>
          </cell>
          <cell r="M99">
            <v>0</v>
          </cell>
          <cell r="N99">
            <v>0</v>
          </cell>
          <cell r="O99" t="e">
            <v>#N/A</v>
          </cell>
          <cell r="P99" t="e">
            <v>#N/A</v>
          </cell>
        </row>
        <row r="100">
          <cell r="A100" t="str">
            <v>Diamante do sul</v>
          </cell>
          <cell r="B100" t="str">
            <v>var_op</v>
          </cell>
          <cell r="C100">
            <v>4653</v>
          </cell>
          <cell r="D100">
            <v>4452</v>
          </cell>
          <cell r="E100" t="str">
            <v>dist</v>
          </cell>
          <cell r="F100">
            <v>4764</v>
          </cell>
          <cell r="G100">
            <v>4515</v>
          </cell>
          <cell r="H100" t="str">
            <v>labo</v>
          </cell>
          <cell r="I100">
            <v>3763.08</v>
          </cell>
          <cell r="J100">
            <v>3573</v>
          </cell>
          <cell r="K100" t="str">
            <v>ind_pr</v>
          </cell>
          <cell r="L100">
            <v>4211.45</v>
          </cell>
          <cell r="M100">
            <v>0</v>
          </cell>
          <cell r="N100">
            <v>0</v>
          </cell>
          <cell r="O100" t="e">
            <v>#N/A</v>
          </cell>
          <cell r="P100" t="e">
            <v>#N/A</v>
          </cell>
        </row>
        <row r="101">
          <cell r="A101" t="str">
            <v>Dois Vizinhos</v>
          </cell>
          <cell r="B101" t="str">
            <v>var_pr</v>
          </cell>
          <cell r="C101">
            <v>4729.62</v>
          </cell>
          <cell r="D101">
            <v>4729.62</v>
          </cell>
          <cell r="E101" t="str">
            <v>dist</v>
          </cell>
          <cell r="F101">
            <v>4764</v>
          </cell>
          <cell r="G101">
            <v>4515</v>
          </cell>
          <cell r="H101" t="str">
            <v>labo</v>
          </cell>
          <cell r="I101">
            <v>3763.08</v>
          </cell>
          <cell r="J101">
            <v>3573</v>
          </cell>
          <cell r="K101" t="str">
            <v>ind_pr</v>
          </cell>
          <cell r="L101">
            <v>4211.45</v>
          </cell>
          <cell r="M101">
            <v>0</v>
          </cell>
          <cell r="N101" t="str">
            <v>hosp_sudpr</v>
          </cell>
          <cell r="O101">
            <v>1760</v>
          </cell>
          <cell r="P101">
            <v>0</v>
          </cell>
        </row>
        <row r="102">
          <cell r="A102" t="str">
            <v>Douradina</v>
          </cell>
          <cell r="B102" t="str">
            <v>var_pr</v>
          </cell>
          <cell r="C102">
            <v>4729.62</v>
          </cell>
          <cell r="D102">
            <v>4729.62</v>
          </cell>
          <cell r="E102" t="str">
            <v>dist</v>
          </cell>
          <cell r="F102">
            <v>4764</v>
          </cell>
          <cell r="G102">
            <v>4515</v>
          </cell>
          <cell r="H102" t="str">
            <v>labo</v>
          </cell>
          <cell r="I102">
            <v>3763.08</v>
          </cell>
          <cell r="J102">
            <v>3573</v>
          </cell>
          <cell r="K102" t="str">
            <v>ind_pr</v>
          </cell>
          <cell r="L102">
            <v>4211.45</v>
          </cell>
          <cell r="M102">
            <v>0</v>
          </cell>
          <cell r="N102" t="str">
            <v>hosp_umu</v>
          </cell>
          <cell r="O102">
            <v>2428.5500000000002</v>
          </cell>
          <cell r="P102">
            <v>0</v>
          </cell>
        </row>
        <row r="103">
          <cell r="A103" t="str">
            <v>Doutor Camargo</v>
          </cell>
          <cell r="B103" t="str">
            <v>var_pr</v>
          </cell>
          <cell r="C103">
            <v>4729.62</v>
          </cell>
          <cell r="D103">
            <v>4729.62</v>
          </cell>
          <cell r="E103" t="str">
            <v>dist</v>
          </cell>
          <cell r="F103">
            <v>4764</v>
          </cell>
          <cell r="G103">
            <v>4515</v>
          </cell>
          <cell r="H103" t="str">
            <v>labo</v>
          </cell>
          <cell r="I103">
            <v>3763.08</v>
          </cell>
          <cell r="J103">
            <v>3573</v>
          </cell>
          <cell r="K103" t="str">
            <v>ind_pr</v>
          </cell>
          <cell r="L103">
            <v>4211.45</v>
          </cell>
          <cell r="M103">
            <v>0</v>
          </cell>
          <cell r="N103" t="str">
            <v>hosp_mg</v>
          </cell>
          <cell r="O103">
            <v>3888.38</v>
          </cell>
          <cell r="P103">
            <v>0</v>
          </cell>
        </row>
        <row r="104">
          <cell r="A104" t="str">
            <v>Doutor Ulysses</v>
          </cell>
          <cell r="B104" t="str">
            <v>var_pr</v>
          </cell>
          <cell r="C104">
            <v>4729.62</v>
          </cell>
          <cell r="D104">
            <v>4729.62</v>
          </cell>
          <cell r="E104" t="str">
            <v>dist</v>
          </cell>
          <cell r="F104">
            <v>4764</v>
          </cell>
          <cell r="G104">
            <v>4515</v>
          </cell>
          <cell r="H104" t="str">
            <v>labo</v>
          </cell>
          <cell r="I104">
            <v>3763.08</v>
          </cell>
          <cell r="J104">
            <v>3573</v>
          </cell>
          <cell r="K104" t="str">
            <v>ind_pr</v>
          </cell>
          <cell r="L104">
            <v>4211.45</v>
          </cell>
          <cell r="M104">
            <v>0</v>
          </cell>
          <cell r="N104">
            <v>0</v>
          </cell>
          <cell r="O104" t="e">
            <v>#N/A</v>
          </cell>
          <cell r="P104" t="e">
            <v>#N/A</v>
          </cell>
        </row>
        <row r="105">
          <cell r="A105" t="str">
            <v>Eneas Marques</v>
          </cell>
          <cell r="B105" t="str">
            <v>var_pr</v>
          </cell>
          <cell r="C105">
            <v>4729.62</v>
          </cell>
          <cell r="D105">
            <v>4729.62</v>
          </cell>
          <cell r="E105" t="str">
            <v>dist</v>
          </cell>
          <cell r="F105">
            <v>4764</v>
          </cell>
          <cell r="G105">
            <v>4515</v>
          </cell>
          <cell r="H105" t="str">
            <v>labo</v>
          </cell>
          <cell r="I105">
            <v>3763.08</v>
          </cell>
          <cell r="J105">
            <v>3573</v>
          </cell>
          <cell r="K105" t="str">
            <v>ind_pr</v>
          </cell>
          <cell r="L105">
            <v>4211.45</v>
          </cell>
          <cell r="M105">
            <v>0</v>
          </cell>
          <cell r="N105" t="str">
            <v>hosp_sudpr</v>
          </cell>
          <cell r="O105">
            <v>1760</v>
          </cell>
          <cell r="P105">
            <v>0</v>
          </cell>
        </row>
        <row r="106">
          <cell r="A106" t="str">
            <v>Engenheiro Beltrao</v>
          </cell>
          <cell r="B106" t="str">
            <v>var_pr</v>
          </cell>
          <cell r="C106">
            <v>4729.62</v>
          </cell>
          <cell r="D106">
            <v>4729.62</v>
          </cell>
          <cell r="E106" t="str">
            <v>dist</v>
          </cell>
          <cell r="F106">
            <v>4764</v>
          </cell>
          <cell r="G106">
            <v>4515</v>
          </cell>
          <cell r="H106" t="str">
            <v>labo</v>
          </cell>
          <cell r="I106">
            <v>3763.08</v>
          </cell>
          <cell r="J106">
            <v>3573</v>
          </cell>
          <cell r="K106" t="str">
            <v>ind_pr</v>
          </cell>
          <cell r="L106">
            <v>4211.45</v>
          </cell>
          <cell r="M106">
            <v>0</v>
          </cell>
          <cell r="N106" t="str">
            <v>hosp_cm</v>
          </cell>
          <cell r="O106">
            <v>4133.2</v>
          </cell>
          <cell r="P106">
            <v>0</v>
          </cell>
        </row>
        <row r="107">
          <cell r="A107" t="str">
            <v>Entre Rios do Oeste</v>
          </cell>
          <cell r="B107" t="str">
            <v>var_op</v>
          </cell>
          <cell r="C107">
            <v>4653</v>
          </cell>
          <cell r="D107">
            <v>4452</v>
          </cell>
          <cell r="E107" t="str">
            <v>dist</v>
          </cell>
          <cell r="F107">
            <v>4764</v>
          </cell>
          <cell r="G107">
            <v>4515</v>
          </cell>
          <cell r="H107" t="str">
            <v>labo</v>
          </cell>
          <cell r="I107">
            <v>3763.08</v>
          </cell>
          <cell r="J107">
            <v>3573</v>
          </cell>
          <cell r="K107" t="str">
            <v>ind_pr</v>
          </cell>
          <cell r="L107">
            <v>4211.45</v>
          </cell>
          <cell r="M107">
            <v>0</v>
          </cell>
          <cell r="N107">
            <v>0</v>
          </cell>
          <cell r="O107" t="e">
            <v>#N/A</v>
          </cell>
          <cell r="P107" t="e">
            <v>#N/A</v>
          </cell>
        </row>
        <row r="108">
          <cell r="A108" t="str">
            <v>Esperança Nova</v>
          </cell>
          <cell r="B108" t="str">
            <v>var_pr</v>
          </cell>
          <cell r="C108">
            <v>4729.62</v>
          </cell>
          <cell r="D108">
            <v>4729.62</v>
          </cell>
          <cell r="E108" t="str">
            <v>dist</v>
          </cell>
          <cell r="F108">
            <v>4764</v>
          </cell>
          <cell r="G108">
            <v>4515</v>
          </cell>
          <cell r="H108" t="str">
            <v>labo</v>
          </cell>
          <cell r="I108">
            <v>3763.08</v>
          </cell>
          <cell r="J108">
            <v>3573</v>
          </cell>
          <cell r="K108" t="str">
            <v>ind_pr</v>
          </cell>
          <cell r="L108">
            <v>4211.45</v>
          </cell>
          <cell r="M108">
            <v>0</v>
          </cell>
          <cell r="N108">
            <v>0</v>
          </cell>
          <cell r="O108" t="e">
            <v>#N/A</v>
          </cell>
          <cell r="P108" t="e">
            <v>#N/A</v>
          </cell>
        </row>
        <row r="109">
          <cell r="A109" t="str">
            <v>Espigao Alto do Iguaçu</v>
          </cell>
          <cell r="B109" t="str">
            <v>var_op</v>
          </cell>
          <cell r="C109">
            <v>4653</v>
          </cell>
          <cell r="D109">
            <v>4452</v>
          </cell>
          <cell r="E109" t="str">
            <v>dist</v>
          </cell>
          <cell r="F109">
            <v>4764</v>
          </cell>
          <cell r="G109">
            <v>4515</v>
          </cell>
          <cell r="H109" t="str">
            <v>labo</v>
          </cell>
          <cell r="I109">
            <v>3763.08</v>
          </cell>
          <cell r="J109">
            <v>3573</v>
          </cell>
          <cell r="K109" t="str">
            <v>ind_pr</v>
          </cell>
          <cell r="L109">
            <v>4211.45</v>
          </cell>
          <cell r="M109">
            <v>0</v>
          </cell>
          <cell r="N109" t="str">
            <v>hosp_co</v>
          </cell>
          <cell r="O109">
            <v>3036.29</v>
          </cell>
          <cell r="P109">
            <v>0</v>
          </cell>
        </row>
        <row r="110">
          <cell r="A110" t="str">
            <v>Farol</v>
          </cell>
          <cell r="B110" t="str">
            <v>var_pr</v>
          </cell>
          <cell r="C110">
            <v>4729.62</v>
          </cell>
          <cell r="D110">
            <v>4729.62</v>
          </cell>
          <cell r="E110" t="str">
            <v>dist</v>
          </cell>
          <cell r="F110">
            <v>4764</v>
          </cell>
          <cell r="G110">
            <v>4515</v>
          </cell>
          <cell r="H110" t="str">
            <v>labo</v>
          </cell>
          <cell r="I110">
            <v>3763.08</v>
          </cell>
          <cell r="J110">
            <v>3573</v>
          </cell>
          <cell r="K110" t="str">
            <v>ind_pr</v>
          </cell>
          <cell r="L110">
            <v>4211.45</v>
          </cell>
          <cell r="M110">
            <v>0</v>
          </cell>
          <cell r="N110" t="str">
            <v>hosp_cm</v>
          </cell>
          <cell r="O110">
            <v>4133.2</v>
          </cell>
          <cell r="P110">
            <v>0</v>
          </cell>
        </row>
        <row r="111">
          <cell r="A111" t="str">
            <v>Faxinal</v>
          </cell>
          <cell r="B111" t="str">
            <v>var_ld</v>
          </cell>
          <cell r="C111">
            <v>4750</v>
          </cell>
          <cell r="D111">
            <v>4527</v>
          </cell>
          <cell r="E111" t="str">
            <v>dist</v>
          </cell>
          <cell r="F111">
            <v>4764</v>
          </cell>
          <cell r="G111">
            <v>4515</v>
          </cell>
          <cell r="H111" t="str">
            <v>labo</v>
          </cell>
          <cell r="I111">
            <v>3763.08</v>
          </cell>
          <cell r="J111">
            <v>3573</v>
          </cell>
          <cell r="K111" t="str">
            <v>ind_pr</v>
          </cell>
          <cell r="L111">
            <v>4211.45</v>
          </cell>
          <cell r="M111">
            <v>0</v>
          </cell>
          <cell r="N111">
            <v>0</v>
          </cell>
          <cell r="O111" t="e">
            <v>#N/A</v>
          </cell>
          <cell r="P111" t="e">
            <v>#N/A</v>
          </cell>
        </row>
        <row r="112">
          <cell r="A112" t="str">
            <v>Fazenda Rio Grande</v>
          </cell>
          <cell r="B112" t="str">
            <v>var_pr</v>
          </cell>
          <cell r="C112">
            <v>4729.62</v>
          </cell>
          <cell r="D112">
            <v>4729.62</v>
          </cell>
          <cell r="E112" t="str">
            <v>dist</v>
          </cell>
          <cell r="F112">
            <v>4764</v>
          </cell>
          <cell r="G112">
            <v>4515</v>
          </cell>
          <cell r="H112" t="str">
            <v>labo</v>
          </cell>
          <cell r="I112">
            <v>3763.08</v>
          </cell>
          <cell r="J112">
            <v>3573</v>
          </cell>
          <cell r="K112" t="str">
            <v>ind_pr</v>
          </cell>
          <cell r="L112">
            <v>4211.45</v>
          </cell>
          <cell r="M112">
            <v>0</v>
          </cell>
          <cell r="N112">
            <v>0</v>
          </cell>
          <cell r="O112" t="e">
            <v>#N/A</v>
          </cell>
          <cell r="P112" t="e">
            <v>#N/A</v>
          </cell>
        </row>
        <row r="113">
          <cell r="A113" t="str">
            <v>Fenix</v>
          </cell>
          <cell r="B113" t="str">
            <v>var_pr</v>
          </cell>
          <cell r="C113">
            <v>4729.62</v>
          </cell>
          <cell r="D113">
            <v>4729.62</v>
          </cell>
          <cell r="E113" t="str">
            <v>dist</v>
          </cell>
          <cell r="F113">
            <v>4764</v>
          </cell>
          <cell r="G113">
            <v>4515</v>
          </cell>
          <cell r="H113" t="str">
            <v>labo</v>
          </cell>
          <cell r="I113">
            <v>3763.08</v>
          </cell>
          <cell r="J113">
            <v>3573</v>
          </cell>
          <cell r="K113" t="str">
            <v>ind_pr</v>
          </cell>
          <cell r="L113">
            <v>4211.45</v>
          </cell>
          <cell r="M113">
            <v>0</v>
          </cell>
          <cell r="N113" t="str">
            <v>hosp_cm</v>
          </cell>
          <cell r="O113">
            <v>4133.2</v>
          </cell>
          <cell r="P113">
            <v>0</v>
          </cell>
        </row>
        <row r="114">
          <cell r="A114" t="str">
            <v>Fernandes Pinheiro</v>
          </cell>
          <cell r="B114" t="str">
            <v>var_pr</v>
          </cell>
          <cell r="C114">
            <v>4729.62</v>
          </cell>
          <cell r="D114">
            <v>4729.62</v>
          </cell>
          <cell r="E114" t="str">
            <v>dist</v>
          </cell>
          <cell r="F114">
            <v>4764</v>
          </cell>
          <cell r="G114">
            <v>4515</v>
          </cell>
          <cell r="H114" t="str">
            <v>labo</v>
          </cell>
          <cell r="I114">
            <v>3763.08</v>
          </cell>
          <cell r="J114">
            <v>3573</v>
          </cell>
          <cell r="K114" t="str">
            <v>ind_pr</v>
          </cell>
          <cell r="L114">
            <v>4211.45</v>
          </cell>
          <cell r="M114">
            <v>0</v>
          </cell>
          <cell r="N114">
            <v>0</v>
          </cell>
          <cell r="O114" t="e">
            <v>#N/A</v>
          </cell>
          <cell r="P114" t="e">
            <v>#N/A</v>
          </cell>
        </row>
        <row r="115">
          <cell r="A115" t="str">
            <v>Figueira</v>
          </cell>
          <cell r="B115" t="str">
            <v>var_pr</v>
          </cell>
          <cell r="C115">
            <v>4729.62</v>
          </cell>
          <cell r="D115">
            <v>4729.62</v>
          </cell>
          <cell r="E115" t="str">
            <v>dist</v>
          </cell>
          <cell r="F115">
            <v>4764</v>
          </cell>
          <cell r="G115">
            <v>4515</v>
          </cell>
          <cell r="H115" t="str">
            <v>labo</v>
          </cell>
          <cell r="I115">
            <v>3763.08</v>
          </cell>
          <cell r="J115">
            <v>3573</v>
          </cell>
          <cell r="K115" t="str">
            <v>ind_pr</v>
          </cell>
          <cell r="L115">
            <v>4211.45</v>
          </cell>
          <cell r="M115">
            <v>0</v>
          </cell>
          <cell r="N115" t="str">
            <v>hosp_nor</v>
          </cell>
          <cell r="O115">
            <v>1760</v>
          </cell>
          <cell r="P115">
            <v>0</v>
          </cell>
        </row>
        <row r="116">
          <cell r="A116" t="str">
            <v>Flor da Serra do Sul</v>
          </cell>
          <cell r="B116" t="str">
            <v>var_pr</v>
          </cell>
          <cell r="C116">
            <v>4729.62</v>
          </cell>
          <cell r="D116">
            <v>4729.62</v>
          </cell>
          <cell r="E116" t="str">
            <v>dist</v>
          </cell>
          <cell r="F116">
            <v>4764</v>
          </cell>
          <cell r="G116">
            <v>4515</v>
          </cell>
          <cell r="H116" t="str">
            <v>labo</v>
          </cell>
          <cell r="I116">
            <v>3763.08</v>
          </cell>
          <cell r="J116">
            <v>3573</v>
          </cell>
          <cell r="K116" t="str">
            <v>ind_pr</v>
          </cell>
          <cell r="L116">
            <v>4211.45</v>
          </cell>
          <cell r="M116">
            <v>0</v>
          </cell>
          <cell r="N116" t="str">
            <v>hosp_sudpr</v>
          </cell>
          <cell r="O116">
            <v>1760</v>
          </cell>
          <cell r="P116">
            <v>0</v>
          </cell>
        </row>
        <row r="117">
          <cell r="A117" t="str">
            <v>Florai</v>
          </cell>
          <cell r="B117" t="str">
            <v>var_pr</v>
          </cell>
          <cell r="C117">
            <v>4729.62</v>
          </cell>
          <cell r="D117">
            <v>4729.62</v>
          </cell>
          <cell r="E117" t="str">
            <v>dist</v>
          </cell>
          <cell r="F117">
            <v>4764</v>
          </cell>
          <cell r="G117">
            <v>4515</v>
          </cell>
          <cell r="H117" t="str">
            <v>labo</v>
          </cell>
          <cell r="I117">
            <v>3763.08</v>
          </cell>
          <cell r="J117">
            <v>3573</v>
          </cell>
          <cell r="K117" t="str">
            <v>ind_pr</v>
          </cell>
          <cell r="L117">
            <v>4211.45</v>
          </cell>
          <cell r="M117">
            <v>0</v>
          </cell>
          <cell r="N117" t="str">
            <v>hosp_mg</v>
          </cell>
          <cell r="O117">
            <v>3888.38</v>
          </cell>
          <cell r="P117">
            <v>0</v>
          </cell>
        </row>
        <row r="118">
          <cell r="A118" t="str">
            <v>Floresta</v>
          </cell>
          <cell r="B118" t="str">
            <v>var_pr</v>
          </cell>
          <cell r="C118">
            <v>4729.62</v>
          </cell>
          <cell r="D118">
            <v>4729.62</v>
          </cell>
          <cell r="E118" t="str">
            <v>dist</v>
          </cell>
          <cell r="F118">
            <v>4764</v>
          </cell>
          <cell r="G118">
            <v>4515</v>
          </cell>
          <cell r="H118" t="str">
            <v>labo</v>
          </cell>
          <cell r="I118">
            <v>3763.08</v>
          </cell>
          <cell r="J118">
            <v>3573</v>
          </cell>
          <cell r="K118" t="str">
            <v>ind_pr</v>
          </cell>
          <cell r="L118">
            <v>4211.45</v>
          </cell>
          <cell r="M118">
            <v>0</v>
          </cell>
          <cell r="N118" t="str">
            <v>hosp_mg</v>
          </cell>
          <cell r="O118">
            <v>3888.38</v>
          </cell>
          <cell r="P118">
            <v>0</v>
          </cell>
        </row>
        <row r="119">
          <cell r="A119" t="str">
            <v>Florestopolis</v>
          </cell>
          <cell r="B119" t="str">
            <v>var_ld</v>
          </cell>
          <cell r="C119">
            <v>4750</v>
          </cell>
          <cell r="D119">
            <v>4527</v>
          </cell>
          <cell r="E119" t="str">
            <v>dist</v>
          </cell>
          <cell r="F119">
            <v>4764</v>
          </cell>
          <cell r="G119">
            <v>4515</v>
          </cell>
          <cell r="H119" t="str">
            <v>labo</v>
          </cell>
          <cell r="I119">
            <v>3763.08</v>
          </cell>
          <cell r="J119">
            <v>3573</v>
          </cell>
          <cell r="K119" t="str">
            <v>ind_pr</v>
          </cell>
          <cell r="L119">
            <v>4211.45</v>
          </cell>
          <cell r="M119">
            <v>0</v>
          </cell>
          <cell r="N119">
            <v>0</v>
          </cell>
          <cell r="O119" t="e">
            <v>#N/A</v>
          </cell>
          <cell r="P119" t="e">
            <v>#N/A</v>
          </cell>
        </row>
        <row r="120">
          <cell r="A120" t="str">
            <v>Florida</v>
          </cell>
          <cell r="B120" t="str">
            <v>var_pr</v>
          </cell>
          <cell r="C120">
            <v>4729.62</v>
          </cell>
          <cell r="D120">
            <v>4729.62</v>
          </cell>
          <cell r="E120" t="str">
            <v>dist</v>
          </cell>
          <cell r="F120">
            <v>4764</v>
          </cell>
          <cell r="G120">
            <v>4515</v>
          </cell>
          <cell r="H120" t="str">
            <v>labo</v>
          </cell>
          <cell r="I120">
            <v>3763.08</v>
          </cell>
          <cell r="J120">
            <v>3573</v>
          </cell>
          <cell r="K120" t="str">
            <v>ind_pr</v>
          </cell>
          <cell r="L120">
            <v>4211.45</v>
          </cell>
          <cell r="M120">
            <v>0</v>
          </cell>
          <cell r="N120" t="str">
            <v>hosp_mg</v>
          </cell>
          <cell r="O120">
            <v>3888.38</v>
          </cell>
          <cell r="P120">
            <v>0</v>
          </cell>
        </row>
        <row r="121">
          <cell r="A121" t="str">
            <v>Formosa do Oeste</v>
          </cell>
          <cell r="B121" t="str">
            <v>var_op</v>
          </cell>
          <cell r="C121">
            <v>4653</v>
          </cell>
          <cell r="D121">
            <v>4452</v>
          </cell>
          <cell r="E121" t="str">
            <v>dist</v>
          </cell>
          <cell r="F121">
            <v>4764</v>
          </cell>
          <cell r="G121">
            <v>4515</v>
          </cell>
          <cell r="H121" t="str">
            <v>labo</v>
          </cell>
          <cell r="I121">
            <v>3763.08</v>
          </cell>
          <cell r="J121">
            <v>3573</v>
          </cell>
          <cell r="K121" t="str">
            <v>ind_pr</v>
          </cell>
          <cell r="L121">
            <v>4211.45</v>
          </cell>
          <cell r="M121">
            <v>0</v>
          </cell>
          <cell r="N121">
            <v>0</v>
          </cell>
          <cell r="O121" t="e">
            <v>#N/A</v>
          </cell>
          <cell r="P121" t="e">
            <v>#N/A</v>
          </cell>
        </row>
        <row r="122">
          <cell r="A122" t="str">
            <v>Foz do Iguaçu</v>
          </cell>
          <cell r="B122" t="str">
            <v>var_op</v>
          </cell>
          <cell r="C122">
            <v>4653</v>
          </cell>
          <cell r="D122">
            <v>4452</v>
          </cell>
          <cell r="E122" t="str">
            <v>dist</v>
          </cell>
          <cell r="F122">
            <v>4764</v>
          </cell>
          <cell r="G122">
            <v>4515</v>
          </cell>
          <cell r="H122" t="str">
            <v>labo</v>
          </cell>
          <cell r="I122">
            <v>3763.08</v>
          </cell>
          <cell r="J122">
            <v>3573</v>
          </cell>
          <cell r="K122" t="str">
            <v>ind_pr</v>
          </cell>
          <cell r="L122">
            <v>4211.45</v>
          </cell>
          <cell r="M122">
            <v>0</v>
          </cell>
          <cell r="N122" t="str">
            <v>hosp_pr</v>
          </cell>
          <cell r="O122">
            <v>4567</v>
          </cell>
          <cell r="P122">
            <v>0</v>
          </cell>
        </row>
        <row r="123">
          <cell r="A123" t="str">
            <v>Foz do Jordao</v>
          </cell>
          <cell r="B123" t="str">
            <v>var_pr</v>
          </cell>
          <cell r="C123">
            <v>4729.62</v>
          </cell>
          <cell r="D123">
            <v>4729.62</v>
          </cell>
          <cell r="E123" t="str">
            <v>dist</v>
          </cell>
          <cell r="F123">
            <v>4764</v>
          </cell>
          <cell r="G123">
            <v>4515</v>
          </cell>
          <cell r="H123" t="str">
            <v>labo</v>
          </cell>
          <cell r="I123">
            <v>3763.08</v>
          </cell>
          <cell r="J123">
            <v>3573</v>
          </cell>
          <cell r="K123" t="str">
            <v>ind_pr</v>
          </cell>
          <cell r="L123">
            <v>4211.45</v>
          </cell>
          <cell r="M123">
            <v>0</v>
          </cell>
          <cell r="N123" t="str">
            <v>hosp_co</v>
          </cell>
          <cell r="O123">
            <v>3036.29</v>
          </cell>
          <cell r="P123">
            <v>0</v>
          </cell>
        </row>
        <row r="124">
          <cell r="A124" t="str">
            <v>Francisco Alves</v>
          </cell>
          <cell r="B124" t="str">
            <v>var_pr</v>
          </cell>
          <cell r="C124">
            <v>4729.62</v>
          </cell>
          <cell r="D124">
            <v>4729.62</v>
          </cell>
          <cell r="E124" t="str">
            <v>dist</v>
          </cell>
          <cell r="F124">
            <v>4764</v>
          </cell>
          <cell r="G124">
            <v>4515</v>
          </cell>
          <cell r="H124" t="str">
            <v>labo</v>
          </cell>
          <cell r="I124">
            <v>3763.08</v>
          </cell>
          <cell r="J124">
            <v>3573</v>
          </cell>
          <cell r="K124" t="str">
            <v>ind_pr</v>
          </cell>
          <cell r="L124">
            <v>4211.45</v>
          </cell>
          <cell r="M124">
            <v>0</v>
          </cell>
          <cell r="N124" t="str">
            <v>hosp_umu</v>
          </cell>
          <cell r="O124">
            <v>2428.5500000000002</v>
          </cell>
          <cell r="P124">
            <v>0</v>
          </cell>
        </row>
        <row r="125">
          <cell r="A125" t="str">
            <v>Francisco Beltrao</v>
          </cell>
          <cell r="B125" t="str">
            <v>var_pr</v>
          </cell>
          <cell r="C125">
            <v>4729.62</v>
          </cell>
          <cell r="D125">
            <v>4729.62</v>
          </cell>
          <cell r="E125" t="str">
            <v>dist</v>
          </cell>
          <cell r="F125">
            <v>4764</v>
          </cell>
          <cell r="G125">
            <v>4515</v>
          </cell>
          <cell r="H125" t="str">
            <v>labo</v>
          </cell>
          <cell r="I125">
            <v>3763.08</v>
          </cell>
          <cell r="J125">
            <v>3573</v>
          </cell>
          <cell r="K125" t="str">
            <v>ind_pr</v>
          </cell>
          <cell r="L125">
            <v>4211.45</v>
          </cell>
          <cell r="M125">
            <v>0</v>
          </cell>
          <cell r="N125" t="str">
            <v>hosp_sudpr</v>
          </cell>
          <cell r="O125">
            <v>1760</v>
          </cell>
          <cell r="P125">
            <v>0</v>
          </cell>
        </row>
        <row r="126">
          <cell r="A126" t="str">
            <v>General Carneiro</v>
          </cell>
          <cell r="B126" t="str">
            <v>var_pr</v>
          </cell>
          <cell r="C126">
            <v>4729.62</v>
          </cell>
          <cell r="D126">
            <v>4729.62</v>
          </cell>
          <cell r="E126" t="str">
            <v>dist</v>
          </cell>
          <cell r="F126">
            <v>4764</v>
          </cell>
          <cell r="G126">
            <v>4515</v>
          </cell>
          <cell r="H126" t="str">
            <v>labo</v>
          </cell>
          <cell r="I126">
            <v>3763.08</v>
          </cell>
          <cell r="J126">
            <v>3573</v>
          </cell>
          <cell r="K126" t="str">
            <v>ind_pr</v>
          </cell>
          <cell r="L126">
            <v>4211.45</v>
          </cell>
          <cell r="M126">
            <v>0</v>
          </cell>
          <cell r="N126">
            <v>0</v>
          </cell>
          <cell r="O126" t="e">
            <v>#N/A</v>
          </cell>
          <cell r="P126" t="e">
            <v>#N/A</v>
          </cell>
        </row>
        <row r="127">
          <cell r="A127" t="str">
            <v>Godoy Moreira</v>
          </cell>
          <cell r="B127" t="str">
            <v>var_pr</v>
          </cell>
          <cell r="C127">
            <v>4729.62</v>
          </cell>
          <cell r="D127">
            <v>4729.62</v>
          </cell>
          <cell r="E127" t="str">
            <v>dist</v>
          </cell>
          <cell r="F127">
            <v>4764</v>
          </cell>
          <cell r="G127">
            <v>4515</v>
          </cell>
          <cell r="H127" t="str">
            <v>labo</v>
          </cell>
          <cell r="I127">
            <v>3763.08</v>
          </cell>
          <cell r="J127">
            <v>3573</v>
          </cell>
          <cell r="K127" t="str">
            <v>ind_pr</v>
          </cell>
          <cell r="L127">
            <v>4211.45</v>
          </cell>
          <cell r="M127">
            <v>0</v>
          </cell>
          <cell r="N127">
            <v>0</v>
          </cell>
          <cell r="O127" t="e">
            <v>#N/A</v>
          </cell>
          <cell r="P127" t="e">
            <v>#N/A</v>
          </cell>
        </row>
        <row r="128">
          <cell r="A128" t="str">
            <v>Goioere</v>
          </cell>
          <cell r="B128" t="str">
            <v>var_pr</v>
          </cell>
          <cell r="C128">
            <v>4729.62</v>
          </cell>
          <cell r="D128">
            <v>4729.62</v>
          </cell>
          <cell r="E128" t="str">
            <v>dist</v>
          </cell>
          <cell r="F128">
            <v>4764</v>
          </cell>
          <cell r="G128">
            <v>4515</v>
          </cell>
          <cell r="H128" t="str">
            <v>labo</v>
          </cell>
          <cell r="I128">
            <v>3763.08</v>
          </cell>
          <cell r="J128">
            <v>3573</v>
          </cell>
          <cell r="K128" t="str">
            <v>ind_pr</v>
          </cell>
          <cell r="L128">
            <v>4211.45</v>
          </cell>
          <cell r="M128">
            <v>0</v>
          </cell>
          <cell r="N128" t="str">
            <v>hosp_cm</v>
          </cell>
          <cell r="O128">
            <v>4133.2</v>
          </cell>
          <cell r="P128">
            <v>0</v>
          </cell>
        </row>
        <row r="129">
          <cell r="A129" t="str">
            <v>Goioxim</v>
          </cell>
          <cell r="B129" t="str">
            <v>var_pr</v>
          </cell>
          <cell r="C129">
            <v>4729.62</v>
          </cell>
          <cell r="D129">
            <v>4729.62</v>
          </cell>
          <cell r="E129" t="str">
            <v>dist</v>
          </cell>
          <cell r="F129">
            <v>4764</v>
          </cell>
          <cell r="G129">
            <v>4515</v>
          </cell>
          <cell r="H129" t="str">
            <v>labo</v>
          </cell>
          <cell r="I129">
            <v>3763.08</v>
          </cell>
          <cell r="J129">
            <v>3573</v>
          </cell>
          <cell r="K129" t="str">
            <v>ind_pr</v>
          </cell>
          <cell r="L129">
            <v>4211.45</v>
          </cell>
          <cell r="M129">
            <v>0</v>
          </cell>
          <cell r="N129" t="str">
            <v>hosp_co</v>
          </cell>
          <cell r="O129">
            <v>3036.29</v>
          </cell>
          <cell r="P129">
            <v>0</v>
          </cell>
        </row>
        <row r="130">
          <cell r="A130" t="str">
            <v>Grandes Rios</v>
          </cell>
          <cell r="B130" t="str">
            <v>var_pr</v>
          </cell>
          <cell r="C130">
            <v>4729.62</v>
          </cell>
          <cell r="D130">
            <v>4729.62</v>
          </cell>
          <cell r="E130" t="str">
            <v>dist</v>
          </cell>
          <cell r="F130">
            <v>4764</v>
          </cell>
          <cell r="G130">
            <v>4515</v>
          </cell>
          <cell r="H130" t="str">
            <v>labo</v>
          </cell>
          <cell r="I130">
            <v>3763.08</v>
          </cell>
          <cell r="J130">
            <v>3573</v>
          </cell>
          <cell r="K130" t="str">
            <v>ind_pr</v>
          </cell>
          <cell r="L130">
            <v>4211.45</v>
          </cell>
          <cell r="M130">
            <v>0</v>
          </cell>
          <cell r="N130">
            <v>0</v>
          </cell>
          <cell r="O130" t="e">
            <v>#N/A</v>
          </cell>
          <cell r="P130" t="e">
            <v>#N/A</v>
          </cell>
        </row>
        <row r="131">
          <cell r="A131" t="str">
            <v>Guaira</v>
          </cell>
          <cell r="B131" t="str">
            <v>var_op</v>
          </cell>
          <cell r="C131">
            <v>4653</v>
          </cell>
          <cell r="D131">
            <v>4452</v>
          </cell>
          <cell r="E131" t="str">
            <v>dist</v>
          </cell>
          <cell r="F131">
            <v>4764</v>
          </cell>
          <cell r="G131">
            <v>4515</v>
          </cell>
          <cell r="H131" t="str">
            <v>labo</v>
          </cell>
          <cell r="I131">
            <v>3763.08</v>
          </cell>
          <cell r="J131">
            <v>3573</v>
          </cell>
          <cell r="K131" t="str">
            <v>ind_pr</v>
          </cell>
          <cell r="L131">
            <v>4211.45</v>
          </cell>
          <cell r="M131">
            <v>0</v>
          </cell>
          <cell r="N131" t="str">
            <v>hosp_pr</v>
          </cell>
          <cell r="O131">
            <v>4567</v>
          </cell>
          <cell r="P131">
            <v>0</v>
          </cell>
        </row>
        <row r="132">
          <cell r="A132" t="str">
            <v>Guairaça</v>
          </cell>
          <cell r="B132" t="str">
            <v>var_par</v>
          </cell>
          <cell r="C132">
            <v>4846</v>
          </cell>
          <cell r="D132">
            <v>4846</v>
          </cell>
          <cell r="E132" t="str">
            <v>dist</v>
          </cell>
          <cell r="F132">
            <v>4764</v>
          </cell>
          <cell r="G132">
            <v>4515</v>
          </cell>
          <cell r="H132" t="str">
            <v>labo</v>
          </cell>
          <cell r="I132">
            <v>3763.08</v>
          </cell>
          <cell r="J132">
            <v>3573</v>
          </cell>
          <cell r="K132" t="str">
            <v>ind_pr</v>
          </cell>
          <cell r="L132">
            <v>4211.45</v>
          </cell>
          <cell r="M132">
            <v>0</v>
          </cell>
          <cell r="N132">
            <v>0</v>
          </cell>
          <cell r="O132" t="e">
            <v>#N/A</v>
          </cell>
          <cell r="P132" t="e">
            <v>#N/A</v>
          </cell>
        </row>
        <row r="133">
          <cell r="A133" t="str">
            <v>Guamiranga</v>
          </cell>
          <cell r="B133" t="str">
            <v>var_pr</v>
          </cell>
          <cell r="C133">
            <v>4729.62</v>
          </cell>
          <cell r="D133">
            <v>4729.62</v>
          </cell>
          <cell r="E133" t="str">
            <v>dist</v>
          </cell>
          <cell r="F133">
            <v>4764</v>
          </cell>
          <cell r="G133">
            <v>4515</v>
          </cell>
          <cell r="H133" t="str">
            <v>labo</v>
          </cell>
          <cell r="I133">
            <v>3763.08</v>
          </cell>
          <cell r="J133">
            <v>3573</v>
          </cell>
          <cell r="K133" t="str">
            <v>ind_pr</v>
          </cell>
          <cell r="L133">
            <v>4211.45</v>
          </cell>
          <cell r="M133">
            <v>0</v>
          </cell>
          <cell r="N133">
            <v>0</v>
          </cell>
          <cell r="O133" t="e">
            <v>#N/A</v>
          </cell>
          <cell r="P133" t="e">
            <v>#N/A</v>
          </cell>
        </row>
        <row r="134">
          <cell r="A134" t="str">
            <v>Guapirama</v>
          </cell>
          <cell r="B134" t="str">
            <v>var_sto</v>
          </cell>
          <cell r="C134">
            <v>5030</v>
          </cell>
          <cell r="D134">
            <v>5030</v>
          </cell>
          <cell r="E134" t="str">
            <v>dist</v>
          </cell>
          <cell r="F134">
            <v>4764</v>
          </cell>
          <cell r="G134">
            <v>4515</v>
          </cell>
          <cell r="H134" t="str">
            <v>labo</v>
          </cell>
          <cell r="I134">
            <v>3763.08</v>
          </cell>
          <cell r="J134">
            <v>3573</v>
          </cell>
          <cell r="K134" t="str">
            <v>ind_pr</v>
          </cell>
          <cell r="L134">
            <v>4211.45</v>
          </cell>
          <cell r="M134">
            <v>0</v>
          </cell>
          <cell r="N134" t="str">
            <v>hosp_nor</v>
          </cell>
          <cell r="O134">
            <v>1760</v>
          </cell>
          <cell r="P134">
            <v>0</v>
          </cell>
        </row>
        <row r="135">
          <cell r="A135" t="str">
            <v>Guaporema</v>
          </cell>
          <cell r="B135" t="str">
            <v>var_pr</v>
          </cell>
          <cell r="C135">
            <v>4729.62</v>
          </cell>
          <cell r="D135">
            <v>4729.62</v>
          </cell>
          <cell r="E135" t="str">
            <v>dist</v>
          </cell>
          <cell r="F135">
            <v>4764</v>
          </cell>
          <cell r="G135">
            <v>4515</v>
          </cell>
          <cell r="H135" t="str">
            <v>labo</v>
          </cell>
          <cell r="I135">
            <v>3763.08</v>
          </cell>
          <cell r="J135">
            <v>3573</v>
          </cell>
          <cell r="K135" t="str">
            <v>ind_pr</v>
          </cell>
          <cell r="L135">
            <v>4211.45</v>
          </cell>
          <cell r="M135">
            <v>0</v>
          </cell>
          <cell r="N135" t="str">
            <v>hosp_cia</v>
          </cell>
          <cell r="O135">
            <v>4003.87</v>
          </cell>
          <cell r="P135">
            <v>0</v>
          </cell>
        </row>
        <row r="136">
          <cell r="A136" t="str">
            <v>Guaraci</v>
          </cell>
          <cell r="B136" t="str">
            <v>var_pr</v>
          </cell>
          <cell r="C136">
            <v>4729.62</v>
          </cell>
          <cell r="D136">
            <v>4729.62</v>
          </cell>
          <cell r="E136" t="str">
            <v>dist</v>
          </cell>
          <cell r="F136">
            <v>4764</v>
          </cell>
          <cell r="G136">
            <v>4515</v>
          </cell>
          <cell r="H136" t="str">
            <v>labo</v>
          </cell>
          <cell r="I136">
            <v>3763.08</v>
          </cell>
          <cell r="J136">
            <v>3573</v>
          </cell>
          <cell r="K136" t="str">
            <v>ind_pr</v>
          </cell>
          <cell r="L136">
            <v>4211.45</v>
          </cell>
          <cell r="M136">
            <v>0</v>
          </cell>
          <cell r="N136">
            <v>0</v>
          </cell>
          <cell r="O136" t="e">
            <v>#N/A</v>
          </cell>
          <cell r="P136" t="e">
            <v>#N/A</v>
          </cell>
        </row>
        <row r="137">
          <cell r="A137" t="str">
            <v>Guaraniaçu</v>
          </cell>
          <cell r="B137" t="str">
            <v>var_op</v>
          </cell>
          <cell r="C137">
            <v>4653</v>
          </cell>
          <cell r="D137">
            <v>4452</v>
          </cell>
          <cell r="E137" t="str">
            <v>dist</v>
          </cell>
          <cell r="F137">
            <v>4764</v>
          </cell>
          <cell r="G137">
            <v>4515</v>
          </cell>
          <cell r="H137" t="str">
            <v>labo</v>
          </cell>
          <cell r="I137">
            <v>3763.08</v>
          </cell>
          <cell r="J137">
            <v>3573</v>
          </cell>
          <cell r="K137" t="str">
            <v>ind_pr</v>
          </cell>
          <cell r="L137">
            <v>4211.45</v>
          </cell>
          <cell r="M137">
            <v>0</v>
          </cell>
          <cell r="N137">
            <v>0</v>
          </cell>
          <cell r="O137" t="e">
            <v>#N/A</v>
          </cell>
          <cell r="P137" t="e">
            <v>#N/A</v>
          </cell>
        </row>
        <row r="138">
          <cell r="A138" t="str">
            <v>Guarapuava</v>
          </cell>
          <cell r="B138" t="str">
            <v>var_pr</v>
          </cell>
          <cell r="C138">
            <v>4729.62</v>
          </cell>
          <cell r="D138">
            <v>4729.62</v>
          </cell>
          <cell r="E138" t="str">
            <v>dist</v>
          </cell>
          <cell r="F138">
            <v>4764</v>
          </cell>
          <cell r="G138">
            <v>4515</v>
          </cell>
          <cell r="H138" t="str">
            <v>labo</v>
          </cell>
          <cell r="I138">
            <v>3763.08</v>
          </cell>
          <cell r="J138">
            <v>3573</v>
          </cell>
          <cell r="K138" t="str">
            <v>ind_pr</v>
          </cell>
          <cell r="L138">
            <v>4211.45</v>
          </cell>
          <cell r="M138">
            <v>0</v>
          </cell>
          <cell r="N138" t="str">
            <v>hosp_co</v>
          </cell>
          <cell r="O138">
            <v>3036.29</v>
          </cell>
          <cell r="P138">
            <v>0</v>
          </cell>
        </row>
        <row r="139">
          <cell r="A139" t="str">
            <v>Guaraqueçaba</v>
          </cell>
          <cell r="B139" t="str">
            <v>var_pr</v>
          </cell>
          <cell r="C139">
            <v>4729.62</v>
          </cell>
          <cell r="D139">
            <v>4729.62</v>
          </cell>
          <cell r="E139" t="str">
            <v>dist</v>
          </cell>
          <cell r="F139">
            <v>4764</v>
          </cell>
          <cell r="G139">
            <v>4515</v>
          </cell>
          <cell r="H139" t="str">
            <v>labo</v>
          </cell>
          <cell r="I139">
            <v>3763.08</v>
          </cell>
          <cell r="J139">
            <v>3573</v>
          </cell>
          <cell r="K139" t="str">
            <v>ind_pr</v>
          </cell>
          <cell r="L139">
            <v>4211.45</v>
          </cell>
          <cell r="M139">
            <v>0</v>
          </cell>
          <cell r="N139" t="str">
            <v>hosp_pr</v>
          </cell>
          <cell r="O139">
            <v>4567</v>
          </cell>
          <cell r="P139">
            <v>0</v>
          </cell>
        </row>
        <row r="140">
          <cell r="A140" t="str">
            <v>Guaratuba</v>
          </cell>
          <cell r="B140" t="str">
            <v>var_pr</v>
          </cell>
          <cell r="C140">
            <v>4729.62</v>
          </cell>
          <cell r="D140">
            <v>4729.62</v>
          </cell>
          <cell r="E140" t="str">
            <v>dist</v>
          </cell>
          <cell r="F140">
            <v>4764</v>
          </cell>
          <cell r="G140">
            <v>4515</v>
          </cell>
          <cell r="H140" t="str">
            <v>labo</v>
          </cell>
          <cell r="I140">
            <v>3763.08</v>
          </cell>
          <cell r="J140">
            <v>3573</v>
          </cell>
          <cell r="K140" t="str">
            <v>ind_pr</v>
          </cell>
          <cell r="L140">
            <v>4211.45</v>
          </cell>
          <cell r="M140">
            <v>0</v>
          </cell>
          <cell r="N140" t="str">
            <v>hosp_pr</v>
          </cell>
          <cell r="O140">
            <v>4567</v>
          </cell>
          <cell r="P140">
            <v>0</v>
          </cell>
        </row>
        <row r="141">
          <cell r="A141" t="str">
            <v>Honorio Serpa</v>
          </cell>
          <cell r="B141" t="str">
            <v>var_pr</v>
          </cell>
          <cell r="C141">
            <v>4729.62</v>
          </cell>
          <cell r="D141">
            <v>4729.62</v>
          </cell>
          <cell r="E141" t="str">
            <v>dist</v>
          </cell>
          <cell r="F141">
            <v>4764</v>
          </cell>
          <cell r="G141">
            <v>4515</v>
          </cell>
          <cell r="H141" t="str">
            <v>labo</v>
          </cell>
          <cell r="I141">
            <v>3763.08</v>
          </cell>
          <cell r="J141">
            <v>3573</v>
          </cell>
          <cell r="K141" t="str">
            <v>ind_pr</v>
          </cell>
          <cell r="L141">
            <v>4211.45</v>
          </cell>
          <cell r="M141">
            <v>0</v>
          </cell>
          <cell r="N141" t="str">
            <v>hosp_pb</v>
          </cell>
          <cell r="O141">
            <v>1760</v>
          </cell>
          <cell r="P141">
            <v>0</v>
          </cell>
        </row>
        <row r="142">
          <cell r="A142" t="str">
            <v>Ibaiti</v>
          </cell>
          <cell r="B142" t="str">
            <v>var_sto</v>
          </cell>
          <cell r="C142">
            <v>5030</v>
          </cell>
          <cell r="D142">
            <v>5030</v>
          </cell>
          <cell r="E142" t="str">
            <v>dist</v>
          </cell>
          <cell r="F142">
            <v>4764</v>
          </cell>
          <cell r="G142">
            <v>4515</v>
          </cell>
          <cell r="H142" t="str">
            <v>labo</v>
          </cell>
          <cell r="I142">
            <v>3763.08</v>
          </cell>
          <cell r="J142">
            <v>3573</v>
          </cell>
          <cell r="K142" t="str">
            <v>ind_pr</v>
          </cell>
          <cell r="L142">
            <v>4211.45</v>
          </cell>
          <cell r="M142">
            <v>0</v>
          </cell>
          <cell r="N142" t="str">
            <v>hosp_nor</v>
          </cell>
          <cell r="O142">
            <v>1760</v>
          </cell>
          <cell r="P142">
            <v>0</v>
          </cell>
        </row>
        <row r="143">
          <cell r="A143" t="str">
            <v>Ibema</v>
          </cell>
          <cell r="B143" t="str">
            <v>var_op</v>
          </cell>
          <cell r="C143">
            <v>4653</v>
          </cell>
          <cell r="D143">
            <v>4452</v>
          </cell>
          <cell r="E143" t="str">
            <v>dist</v>
          </cell>
          <cell r="F143">
            <v>4764</v>
          </cell>
          <cell r="G143">
            <v>4515</v>
          </cell>
          <cell r="H143" t="str">
            <v>labo</v>
          </cell>
          <cell r="I143">
            <v>3763.08</v>
          </cell>
          <cell r="J143">
            <v>3573</v>
          </cell>
          <cell r="K143" t="str">
            <v>ind_pr</v>
          </cell>
          <cell r="L143">
            <v>4211.45</v>
          </cell>
          <cell r="M143">
            <v>0</v>
          </cell>
          <cell r="N143">
            <v>0</v>
          </cell>
          <cell r="O143" t="e">
            <v>#N/A</v>
          </cell>
          <cell r="P143" t="e">
            <v>#N/A</v>
          </cell>
        </row>
        <row r="144">
          <cell r="A144" t="str">
            <v>Ibipora</v>
          </cell>
          <cell r="B144" t="str">
            <v>var_ld</v>
          </cell>
          <cell r="C144">
            <v>4750</v>
          </cell>
          <cell r="D144">
            <v>4527</v>
          </cell>
          <cell r="E144" t="str">
            <v>dist</v>
          </cell>
          <cell r="F144">
            <v>4764</v>
          </cell>
          <cell r="G144">
            <v>4515</v>
          </cell>
          <cell r="H144" t="str">
            <v>labo</v>
          </cell>
          <cell r="I144">
            <v>3763.08</v>
          </cell>
          <cell r="J144">
            <v>3573</v>
          </cell>
          <cell r="K144" t="str">
            <v>ind_nor</v>
          </cell>
          <cell r="L144">
            <v>3446</v>
          </cell>
          <cell r="M144">
            <v>0</v>
          </cell>
          <cell r="N144">
            <v>0</v>
          </cell>
          <cell r="O144" t="e">
            <v>#N/A</v>
          </cell>
          <cell r="P144" t="e">
            <v>#N/A</v>
          </cell>
        </row>
        <row r="145">
          <cell r="A145" t="str">
            <v>Icaraima</v>
          </cell>
          <cell r="B145" t="str">
            <v>var_pr</v>
          </cell>
          <cell r="C145">
            <v>4729.62</v>
          </cell>
          <cell r="D145">
            <v>4729.62</v>
          </cell>
          <cell r="E145" t="str">
            <v>dist</v>
          </cell>
          <cell r="F145">
            <v>4764</v>
          </cell>
          <cell r="G145">
            <v>4515</v>
          </cell>
          <cell r="H145" t="str">
            <v>labo</v>
          </cell>
          <cell r="I145">
            <v>3763.08</v>
          </cell>
          <cell r="J145">
            <v>3573</v>
          </cell>
          <cell r="K145" t="str">
            <v>ind_pr</v>
          </cell>
          <cell r="L145">
            <v>4211.45</v>
          </cell>
          <cell r="M145">
            <v>0</v>
          </cell>
          <cell r="N145" t="str">
            <v>hosp_umu</v>
          </cell>
          <cell r="O145">
            <v>2428.5500000000002</v>
          </cell>
          <cell r="P145">
            <v>0</v>
          </cell>
        </row>
        <row r="146">
          <cell r="A146" t="str">
            <v>Iguaraçu</v>
          </cell>
          <cell r="B146" t="str">
            <v>var_pr</v>
          </cell>
          <cell r="C146">
            <v>4729.62</v>
          </cell>
          <cell r="D146">
            <v>4729.62</v>
          </cell>
          <cell r="E146" t="str">
            <v>dist</v>
          </cell>
          <cell r="F146">
            <v>4764</v>
          </cell>
          <cell r="G146">
            <v>4515</v>
          </cell>
          <cell r="H146" t="str">
            <v>labo</v>
          </cell>
          <cell r="I146">
            <v>3763.08</v>
          </cell>
          <cell r="J146">
            <v>3573</v>
          </cell>
          <cell r="K146" t="str">
            <v>ind_pr</v>
          </cell>
          <cell r="L146">
            <v>4211.45</v>
          </cell>
          <cell r="M146">
            <v>0</v>
          </cell>
          <cell r="N146" t="str">
            <v>hosp_mg</v>
          </cell>
          <cell r="O146">
            <v>3888.38</v>
          </cell>
          <cell r="P146">
            <v>0</v>
          </cell>
        </row>
        <row r="147">
          <cell r="A147" t="str">
            <v>Iguatu</v>
          </cell>
          <cell r="B147" t="str">
            <v>var_op</v>
          </cell>
          <cell r="C147">
            <v>4653</v>
          </cell>
          <cell r="D147">
            <v>4452</v>
          </cell>
          <cell r="E147" t="str">
            <v>dist</v>
          </cell>
          <cell r="F147">
            <v>4764</v>
          </cell>
          <cell r="G147">
            <v>4515</v>
          </cell>
          <cell r="H147" t="str">
            <v>labo</v>
          </cell>
          <cell r="I147">
            <v>3763.08</v>
          </cell>
          <cell r="J147">
            <v>3573</v>
          </cell>
          <cell r="K147" t="str">
            <v>ind_pr</v>
          </cell>
          <cell r="L147">
            <v>4211.45</v>
          </cell>
          <cell r="M147">
            <v>0</v>
          </cell>
          <cell r="N147">
            <v>0</v>
          </cell>
          <cell r="O147" t="e">
            <v>#N/A</v>
          </cell>
          <cell r="P147" t="e">
            <v>#N/A</v>
          </cell>
        </row>
        <row r="148">
          <cell r="A148" t="str">
            <v>Imbau</v>
          </cell>
          <cell r="B148" t="str">
            <v>var_pr</v>
          </cell>
          <cell r="C148">
            <v>4729.62</v>
          </cell>
          <cell r="D148">
            <v>4729.62</v>
          </cell>
          <cell r="E148" t="str">
            <v>dist</v>
          </cell>
          <cell r="F148">
            <v>4764</v>
          </cell>
          <cell r="G148">
            <v>4515</v>
          </cell>
          <cell r="H148" t="str">
            <v>labo</v>
          </cell>
          <cell r="I148">
            <v>3763.08</v>
          </cell>
          <cell r="J148">
            <v>3573</v>
          </cell>
          <cell r="K148" t="str">
            <v>ind_pr</v>
          </cell>
          <cell r="L148">
            <v>4211.45</v>
          </cell>
          <cell r="M148">
            <v>0</v>
          </cell>
          <cell r="N148">
            <v>0</v>
          </cell>
          <cell r="O148" t="e">
            <v>#N/A</v>
          </cell>
          <cell r="P148" t="e">
            <v>#N/A</v>
          </cell>
        </row>
        <row r="149">
          <cell r="A149" t="str">
            <v>Imbituva</v>
          </cell>
          <cell r="B149" t="str">
            <v>var_pr</v>
          </cell>
          <cell r="C149">
            <v>4729.62</v>
          </cell>
          <cell r="D149">
            <v>4729.62</v>
          </cell>
          <cell r="E149" t="str">
            <v>dist</v>
          </cell>
          <cell r="F149">
            <v>4764</v>
          </cell>
          <cell r="G149">
            <v>4515</v>
          </cell>
          <cell r="H149" t="str">
            <v>labo</v>
          </cell>
          <cell r="I149">
            <v>3763.08</v>
          </cell>
          <cell r="J149">
            <v>3573</v>
          </cell>
          <cell r="K149" t="str">
            <v>ind_pr</v>
          </cell>
          <cell r="L149">
            <v>4211.45</v>
          </cell>
          <cell r="M149">
            <v>0</v>
          </cell>
          <cell r="N149">
            <v>0</v>
          </cell>
          <cell r="O149" t="e">
            <v>#N/A</v>
          </cell>
          <cell r="P149" t="e">
            <v>#N/A</v>
          </cell>
        </row>
        <row r="150">
          <cell r="A150" t="str">
            <v>Inacio Martins</v>
          </cell>
          <cell r="B150" t="str">
            <v>var_pr</v>
          </cell>
          <cell r="C150">
            <v>4729.62</v>
          </cell>
          <cell r="D150">
            <v>4729.62</v>
          </cell>
          <cell r="E150" t="str">
            <v>dist</v>
          </cell>
          <cell r="F150">
            <v>4764</v>
          </cell>
          <cell r="G150">
            <v>4515</v>
          </cell>
          <cell r="H150" t="str">
            <v>labo</v>
          </cell>
          <cell r="I150">
            <v>3763.08</v>
          </cell>
          <cell r="J150">
            <v>3573</v>
          </cell>
          <cell r="K150" t="str">
            <v>ind_pr</v>
          </cell>
          <cell r="L150">
            <v>4211.45</v>
          </cell>
          <cell r="M150">
            <v>0</v>
          </cell>
          <cell r="N150">
            <v>0</v>
          </cell>
          <cell r="O150" t="e">
            <v>#N/A</v>
          </cell>
          <cell r="P150" t="e">
            <v>#N/A</v>
          </cell>
        </row>
        <row r="151">
          <cell r="A151" t="str">
            <v>Inaja</v>
          </cell>
          <cell r="B151" t="str">
            <v>var_par</v>
          </cell>
          <cell r="C151">
            <v>4846</v>
          </cell>
          <cell r="D151">
            <v>4846</v>
          </cell>
          <cell r="E151" t="str">
            <v>dist</v>
          </cell>
          <cell r="F151">
            <v>4764</v>
          </cell>
          <cell r="G151">
            <v>4515</v>
          </cell>
          <cell r="H151" t="str">
            <v>labo</v>
          </cell>
          <cell r="I151">
            <v>3763.08</v>
          </cell>
          <cell r="J151">
            <v>3573</v>
          </cell>
          <cell r="K151" t="str">
            <v>ind_pr</v>
          </cell>
          <cell r="L151">
            <v>4211.45</v>
          </cell>
          <cell r="M151">
            <v>0</v>
          </cell>
          <cell r="N151">
            <v>0</v>
          </cell>
          <cell r="O151" t="e">
            <v>#N/A</v>
          </cell>
          <cell r="P151" t="e">
            <v>#N/A</v>
          </cell>
        </row>
        <row r="152">
          <cell r="A152" t="str">
            <v>Indianopolis</v>
          </cell>
          <cell r="B152" t="str">
            <v>var_pr</v>
          </cell>
          <cell r="C152">
            <v>4729.62</v>
          </cell>
          <cell r="D152">
            <v>4729.62</v>
          </cell>
          <cell r="E152" t="str">
            <v>dist</v>
          </cell>
          <cell r="F152">
            <v>4764</v>
          </cell>
          <cell r="G152">
            <v>4515</v>
          </cell>
          <cell r="H152" t="str">
            <v>labo</v>
          </cell>
          <cell r="I152">
            <v>3763.08</v>
          </cell>
          <cell r="J152">
            <v>3573</v>
          </cell>
          <cell r="K152" t="str">
            <v>ind_pr</v>
          </cell>
          <cell r="L152">
            <v>4211.45</v>
          </cell>
          <cell r="M152">
            <v>0</v>
          </cell>
          <cell r="N152" t="str">
            <v>hosp_cia</v>
          </cell>
          <cell r="O152">
            <v>4003.87</v>
          </cell>
          <cell r="P152">
            <v>0</v>
          </cell>
        </row>
        <row r="153">
          <cell r="A153" t="str">
            <v>Ipiranga</v>
          </cell>
          <cell r="B153" t="str">
            <v>var_pr</v>
          </cell>
          <cell r="C153">
            <v>4729.62</v>
          </cell>
          <cell r="D153">
            <v>4729.62</v>
          </cell>
          <cell r="E153" t="str">
            <v>dist</v>
          </cell>
          <cell r="F153">
            <v>4764</v>
          </cell>
          <cell r="G153">
            <v>4515</v>
          </cell>
          <cell r="H153" t="str">
            <v>labo</v>
          </cell>
          <cell r="I153">
            <v>3763.08</v>
          </cell>
          <cell r="J153">
            <v>3573</v>
          </cell>
          <cell r="K153" t="str">
            <v>ind_pr</v>
          </cell>
          <cell r="L153">
            <v>4211.45</v>
          </cell>
          <cell r="M153">
            <v>0</v>
          </cell>
          <cell r="N153">
            <v>0</v>
          </cell>
          <cell r="O153" t="e">
            <v>#N/A</v>
          </cell>
          <cell r="P153" t="e">
            <v>#N/A</v>
          </cell>
        </row>
        <row r="154">
          <cell r="A154" t="str">
            <v>Ipora</v>
          </cell>
          <cell r="B154" t="str">
            <v>var_pr</v>
          </cell>
          <cell r="C154">
            <v>4729.62</v>
          </cell>
          <cell r="D154">
            <v>4729.62</v>
          </cell>
          <cell r="E154" t="str">
            <v>dist</v>
          </cell>
          <cell r="F154">
            <v>4764</v>
          </cell>
          <cell r="G154">
            <v>4515</v>
          </cell>
          <cell r="H154" t="str">
            <v>labo</v>
          </cell>
          <cell r="I154">
            <v>3763.08</v>
          </cell>
          <cell r="J154">
            <v>3573</v>
          </cell>
          <cell r="K154" t="str">
            <v>ind_pr</v>
          </cell>
          <cell r="L154">
            <v>4211.45</v>
          </cell>
          <cell r="M154">
            <v>0</v>
          </cell>
          <cell r="N154" t="str">
            <v>hosp_umu</v>
          </cell>
          <cell r="O154">
            <v>2428.5500000000002</v>
          </cell>
          <cell r="P154">
            <v>0</v>
          </cell>
        </row>
        <row r="155">
          <cell r="A155" t="str">
            <v>Iracema do Oeste</v>
          </cell>
          <cell r="B155" t="str">
            <v>var_op</v>
          </cell>
          <cell r="C155">
            <v>4653</v>
          </cell>
          <cell r="D155">
            <v>4452</v>
          </cell>
          <cell r="E155" t="str">
            <v>dist</v>
          </cell>
          <cell r="F155">
            <v>4764</v>
          </cell>
          <cell r="G155">
            <v>4515</v>
          </cell>
          <cell r="H155" t="str">
            <v>labo</v>
          </cell>
          <cell r="I155">
            <v>3763.08</v>
          </cell>
          <cell r="J155">
            <v>3573</v>
          </cell>
          <cell r="K155" t="str">
            <v>ind_pr</v>
          </cell>
          <cell r="L155">
            <v>4211.45</v>
          </cell>
          <cell r="M155">
            <v>0</v>
          </cell>
          <cell r="N155">
            <v>0</v>
          </cell>
          <cell r="O155" t="e">
            <v>#N/A</v>
          </cell>
          <cell r="P155" t="e">
            <v>#N/A</v>
          </cell>
        </row>
        <row r="156">
          <cell r="A156" t="str">
            <v>Irati</v>
          </cell>
          <cell r="B156" t="str">
            <v>var_pr</v>
          </cell>
          <cell r="C156">
            <v>4729.62</v>
          </cell>
          <cell r="D156">
            <v>4729.62</v>
          </cell>
          <cell r="E156" t="str">
            <v>dist</v>
          </cell>
          <cell r="F156">
            <v>4764</v>
          </cell>
          <cell r="G156">
            <v>4515</v>
          </cell>
          <cell r="H156" t="str">
            <v>labo</v>
          </cell>
          <cell r="I156">
            <v>3763.08</v>
          </cell>
          <cell r="J156">
            <v>3573</v>
          </cell>
          <cell r="K156" t="str">
            <v>ind_pr</v>
          </cell>
          <cell r="L156">
            <v>4211.45</v>
          </cell>
          <cell r="M156">
            <v>0</v>
          </cell>
          <cell r="N156">
            <v>0</v>
          </cell>
          <cell r="O156" t="e">
            <v>#N/A</v>
          </cell>
          <cell r="P156" t="e">
            <v>#N/A</v>
          </cell>
        </row>
        <row r="157">
          <cell r="A157" t="str">
            <v>Iretama</v>
          </cell>
          <cell r="B157" t="str">
            <v>var_pr</v>
          </cell>
          <cell r="C157">
            <v>4729.62</v>
          </cell>
          <cell r="D157">
            <v>4729.62</v>
          </cell>
          <cell r="E157" t="str">
            <v>dist</v>
          </cell>
          <cell r="F157">
            <v>4764</v>
          </cell>
          <cell r="G157">
            <v>4515</v>
          </cell>
          <cell r="H157" t="str">
            <v>labo</v>
          </cell>
          <cell r="I157">
            <v>3763.08</v>
          </cell>
          <cell r="J157">
            <v>3573</v>
          </cell>
          <cell r="K157" t="str">
            <v>ind_pr</v>
          </cell>
          <cell r="L157">
            <v>4211.45</v>
          </cell>
          <cell r="M157">
            <v>0</v>
          </cell>
          <cell r="N157" t="str">
            <v>hosp_cm</v>
          </cell>
          <cell r="O157">
            <v>4133.2</v>
          </cell>
          <cell r="P157">
            <v>0</v>
          </cell>
        </row>
        <row r="158">
          <cell r="A158" t="str">
            <v>Itaguaje</v>
          </cell>
          <cell r="B158" t="str">
            <v>var_pr</v>
          </cell>
          <cell r="C158">
            <v>4729.62</v>
          </cell>
          <cell r="D158">
            <v>4729.62</v>
          </cell>
          <cell r="E158" t="str">
            <v>dist</v>
          </cell>
          <cell r="F158">
            <v>4764</v>
          </cell>
          <cell r="G158">
            <v>4515</v>
          </cell>
          <cell r="H158" t="str">
            <v>labo</v>
          </cell>
          <cell r="I158">
            <v>3763.08</v>
          </cell>
          <cell r="J158">
            <v>3573</v>
          </cell>
          <cell r="K158" t="str">
            <v>ind_pr</v>
          </cell>
          <cell r="L158">
            <v>4211.45</v>
          </cell>
          <cell r="M158">
            <v>0</v>
          </cell>
          <cell r="N158" t="str">
            <v>hosp_mg</v>
          </cell>
          <cell r="O158">
            <v>3888.38</v>
          </cell>
          <cell r="P158">
            <v>0</v>
          </cell>
        </row>
        <row r="159">
          <cell r="A159" t="str">
            <v>Itaipulandia</v>
          </cell>
          <cell r="B159" t="str">
            <v>var_op</v>
          </cell>
          <cell r="C159">
            <v>4653</v>
          </cell>
          <cell r="D159">
            <v>4452</v>
          </cell>
          <cell r="E159" t="str">
            <v>dist</v>
          </cell>
          <cell r="F159">
            <v>4764</v>
          </cell>
          <cell r="G159">
            <v>4515</v>
          </cell>
          <cell r="H159" t="str">
            <v>labo</v>
          </cell>
          <cell r="I159">
            <v>3763.08</v>
          </cell>
          <cell r="J159">
            <v>3573</v>
          </cell>
          <cell r="K159" t="str">
            <v>ind_pr</v>
          </cell>
          <cell r="L159">
            <v>4211.45</v>
          </cell>
          <cell r="M159">
            <v>0</v>
          </cell>
          <cell r="N159">
            <v>0</v>
          </cell>
          <cell r="O159" t="e">
            <v>#N/A</v>
          </cell>
          <cell r="P159" t="e">
            <v>#N/A</v>
          </cell>
        </row>
        <row r="160">
          <cell r="A160" t="str">
            <v>Itambaraca</v>
          </cell>
          <cell r="B160" t="str">
            <v>var_pr</v>
          </cell>
          <cell r="C160">
            <v>4729.62</v>
          </cell>
          <cell r="D160">
            <v>4729.62</v>
          </cell>
          <cell r="E160" t="str">
            <v>dist</v>
          </cell>
          <cell r="F160">
            <v>4764</v>
          </cell>
          <cell r="G160">
            <v>4515</v>
          </cell>
          <cell r="H160" t="str">
            <v>labo</v>
          </cell>
          <cell r="I160">
            <v>3763.08</v>
          </cell>
          <cell r="J160">
            <v>3573</v>
          </cell>
          <cell r="K160" t="str">
            <v>ind_pr</v>
          </cell>
          <cell r="L160">
            <v>4211.45</v>
          </cell>
          <cell r="M160">
            <v>0</v>
          </cell>
          <cell r="N160">
            <v>0</v>
          </cell>
          <cell r="O160" t="e">
            <v>#N/A</v>
          </cell>
          <cell r="P160" t="e">
            <v>#N/A</v>
          </cell>
        </row>
        <row r="161">
          <cell r="A161" t="str">
            <v>Itambe</v>
          </cell>
          <cell r="B161" t="str">
            <v>var_pr</v>
          </cell>
          <cell r="C161">
            <v>4729.62</v>
          </cell>
          <cell r="D161">
            <v>4729.62</v>
          </cell>
          <cell r="E161" t="str">
            <v>dist</v>
          </cell>
          <cell r="F161">
            <v>4764</v>
          </cell>
          <cell r="G161">
            <v>4515</v>
          </cell>
          <cell r="H161" t="str">
            <v>labo</v>
          </cell>
          <cell r="I161">
            <v>3763.08</v>
          </cell>
          <cell r="J161">
            <v>3573</v>
          </cell>
          <cell r="K161" t="str">
            <v>ind_pr</v>
          </cell>
          <cell r="L161">
            <v>4211.45</v>
          </cell>
          <cell r="M161">
            <v>0</v>
          </cell>
          <cell r="N161" t="str">
            <v>hosp_mg</v>
          </cell>
          <cell r="O161">
            <v>3888.38</v>
          </cell>
          <cell r="P161">
            <v>0</v>
          </cell>
        </row>
        <row r="162">
          <cell r="A162" t="str">
            <v>Itapejara do Oeste</v>
          </cell>
          <cell r="B162" t="str">
            <v>var_pr</v>
          </cell>
          <cell r="C162">
            <v>4729.62</v>
          </cell>
          <cell r="D162">
            <v>4729.62</v>
          </cell>
          <cell r="E162" t="str">
            <v>dist</v>
          </cell>
          <cell r="F162">
            <v>4764</v>
          </cell>
          <cell r="G162">
            <v>4515</v>
          </cell>
          <cell r="H162" t="str">
            <v>labo</v>
          </cell>
          <cell r="I162">
            <v>3763.08</v>
          </cell>
          <cell r="J162">
            <v>3573</v>
          </cell>
          <cell r="K162" t="str">
            <v>ind_pr</v>
          </cell>
          <cell r="L162">
            <v>4211.45</v>
          </cell>
          <cell r="M162">
            <v>0</v>
          </cell>
          <cell r="N162" t="str">
            <v>hosp_pb</v>
          </cell>
          <cell r="O162">
            <v>1760</v>
          </cell>
          <cell r="P162">
            <v>0</v>
          </cell>
        </row>
        <row r="163">
          <cell r="A163" t="str">
            <v>Itaperuçu</v>
          </cell>
          <cell r="B163" t="str">
            <v>var_pr</v>
          </cell>
          <cell r="C163">
            <v>4729.62</v>
          </cell>
          <cell r="D163">
            <v>4729.62</v>
          </cell>
          <cell r="E163" t="str">
            <v>dist</v>
          </cell>
          <cell r="F163">
            <v>4764</v>
          </cell>
          <cell r="G163">
            <v>4515</v>
          </cell>
          <cell r="H163" t="str">
            <v>labo</v>
          </cell>
          <cell r="I163">
            <v>3763.08</v>
          </cell>
          <cell r="J163">
            <v>3573</v>
          </cell>
          <cell r="K163" t="str">
            <v>ind_pr</v>
          </cell>
          <cell r="L163">
            <v>4211.45</v>
          </cell>
          <cell r="M163">
            <v>0</v>
          </cell>
          <cell r="N163">
            <v>0</v>
          </cell>
          <cell r="O163" t="e">
            <v>#N/A</v>
          </cell>
          <cell r="P163" t="e">
            <v>#N/A</v>
          </cell>
        </row>
        <row r="164">
          <cell r="A164" t="str">
            <v>Itauna do Sul</v>
          </cell>
          <cell r="B164" t="str">
            <v>var_par</v>
          </cell>
          <cell r="C164">
            <v>4846</v>
          </cell>
          <cell r="D164">
            <v>4846</v>
          </cell>
          <cell r="E164" t="str">
            <v>dist</v>
          </cell>
          <cell r="F164">
            <v>4764</v>
          </cell>
          <cell r="G164">
            <v>4515</v>
          </cell>
          <cell r="H164" t="str">
            <v>labo</v>
          </cell>
          <cell r="I164">
            <v>3763.08</v>
          </cell>
          <cell r="J164">
            <v>3573</v>
          </cell>
          <cell r="K164" t="str">
            <v>ind_pr</v>
          </cell>
          <cell r="L164">
            <v>4211.45</v>
          </cell>
          <cell r="M164">
            <v>0</v>
          </cell>
          <cell r="N164">
            <v>0</v>
          </cell>
          <cell r="O164" t="e">
            <v>#N/A</v>
          </cell>
          <cell r="P164" t="e">
            <v>#N/A</v>
          </cell>
        </row>
        <row r="165">
          <cell r="A165" t="str">
            <v>Ivai</v>
          </cell>
          <cell r="B165" t="str">
            <v>var_pr</v>
          </cell>
          <cell r="C165">
            <v>4729.62</v>
          </cell>
          <cell r="D165">
            <v>4729.62</v>
          </cell>
          <cell r="E165" t="str">
            <v>dist</v>
          </cell>
          <cell r="F165">
            <v>4764</v>
          </cell>
          <cell r="G165">
            <v>4515</v>
          </cell>
          <cell r="H165" t="str">
            <v>labo</v>
          </cell>
          <cell r="I165">
            <v>3763.08</v>
          </cell>
          <cell r="J165">
            <v>3573</v>
          </cell>
          <cell r="K165" t="str">
            <v>ind_pr</v>
          </cell>
          <cell r="L165">
            <v>4211.45</v>
          </cell>
          <cell r="M165">
            <v>0</v>
          </cell>
          <cell r="N165">
            <v>0</v>
          </cell>
          <cell r="O165" t="e">
            <v>#N/A</v>
          </cell>
          <cell r="P165" t="e">
            <v>#N/A</v>
          </cell>
        </row>
        <row r="166">
          <cell r="A166" t="str">
            <v>Ivaipora</v>
          </cell>
          <cell r="B166" t="str">
            <v>var_ld</v>
          </cell>
          <cell r="C166">
            <v>4750</v>
          </cell>
          <cell r="D166">
            <v>4527</v>
          </cell>
          <cell r="E166" t="str">
            <v>dist</v>
          </cell>
          <cell r="F166">
            <v>4764</v>
          </cell>
          <cell r="G166">
            <v>4515</v>
          </cell>
          <cell r="H166" t="str">
            <v>labo</v>
          </cell>
          <cell r="I166">
            <v>3763.08</v>
          </cell>
          <cell r="J166">
            <v>3573</v>
          </cell>
          <cell r="K166" t="str">
            <v>ind_pr</v>
          </cell>
          <cell r="L166">
            <v>4211.45</v>
          </cell>
          <cell r="M166">
            <v>0</v>
          </cell>
          <cell r="N166">
            <v>0</v>
          </cell>
          <cell r="O166" t="e">
            <v>#N/A</v>
          </cell>
          <cell r="P166" t="e">
            <v>#N/A</v>
          </cell>
        </row>
        <row r="167">
          <cell r="A167" t="str">
            <v>Ivate</v>
          </cell>
          <cell r="B167" t="str">
            <v>var_pr</v>
          </cell>
          <cell r="C167">
            <v>4729.62</v>
          </cell>
          <cell r="D167">
            <v>4729.62</v>
          </cell>
          <cell r="E167" t="str">
            <v>dist</v>
          </cell>
          <cell r="F167">
            <v>4764</v>
          </cell>
          <cell r="G167">
            <v>4515</v>
          </cell>
          <cell r="H167" t="str">
            <v>labo</v>
          </cell>
          <cell r="I167">
            <v>3763.08</v>
          </cell>
          <cell r="J167">
            <v>3573</v>
          </cell>
          <cell r="K167" t="str">
            <v>ind_pr</v>
          </cell>
          <cell r="L167">
            <v>4211.45</v>
          </cell>
          <cell r="M167">
            <v>0</v>
          </cell>
          <cell r="N167">
            <v>0</v>
          </cell>
          <cell r="O167" t="e">
            <v>#N/A</v>
          </cell>
          <cell r="P167" t="e">
            <v>#N/A</v>
          </cell>
        </row>
        <row r="168">
          <cell r="A168" t="str">
            <v>Ivatuba</v>
          </cell>
          <cell r="B168" t="str">
            <v>var_pr</v>
          </cell>
          <cell r="C168">
            <v>4729.62</v>
          </cell>
          <cell r="D168">
            <v>4729.62</v>
          </cell>
          <cell r="E168" t="str">
            <v>dist</v>
          </cell>
          <cell r="F168">
            <v>4764</v>
          </cell>
          <cell r="G168">
            <v>4515</v>
          </cell>
          <cell r="H168" t="str">
            <v>labo</v>
          </cell>
          <cell r="I168">
            <v>3763.08</v>
          </cell>
          <cell r="J168">
            <v>3573</v>
          </cell>
          <cell r="K168" t="str">
            <v>ind_pr</v>
          </cell>
          <cell r="L168">
            <v>4211.45</v>
          </cell>
          <cell r="M168">
            <v>0</v>
          </cell>
          <cell r="N168" t="str">
            <v>hosp_mg</v>
          </cell>
          <cell r="O168">
            <v>3888.38</v>
          </cell>
          <cell r="P168">
            <v>0</v>
          </cell>
        </row>
        <row r="169">
          <cell r="A169" t="str">
            <v>Jaboti</v>
          </cell>
          <cell r="B169" t="str">
            <v>var_sto</v>
          </cell>
          <cell r="C169">
            <v>5030</v>
          </cell>
          <cell r="D169">
            <v>5030</v>
          </cell>
          <cell r="E169" t="str">
            <v>dist</v>
          </cell>
          <cell r="F169">
            <v>4764</v>
          </cell>
          <cell r="G169">
            <v>4515</v>
          </cell>
          <cell r="H169" t="str">
            <v>labo</v>
          </cell>
          <cell r="I169">
            <v>3763.08</v>
          </cell>
          <cell r="J169">
            <v>3573</v>
          </cell>
          <cell r="K169" t="str">
            <v>ind_pr</v>
          </cell>
          <cell r="L169">
            <v>4211.45</v>
          </cell>
          <cell r="M169">
            <v>0</v>
          </cell>
          <cell r="N169" t="str">
            <v>hosp_nor</v>
          </cell>
          <cell r="O169">
            <v>1760</v>
          </cell>
          <cell r="P169">
            <v>0</v>
          </cell>
        </row>
        <row r="170">
          <cell r="A170" t="str">
            <v>Jacarezinho</v>
          </cell>
          <cell r="B170" t="str">
            <v>var_ld</v>
          </cell>
          <cell r="C170">
            <v>4750</v>
          </cell>
          <cell r="D170">
            <v>4527</v>
          </cell>
          <cell r="E170" t="str">
            <v>dist</v>
          </cell>
          <cell r="F170">
            <v>4764</v>
          </cell>
          <cell r="G170">
            <v>4515</v>
          </cell>
          <cell r="H170" t="str">
            <v>labo</v>
          </cell>
          <cell r="I170">
            <v>3763.08</v>
          </cell>
          <cell r="J170">
            <v>3573</v>
          </cell>
          <cell r="K170" t="str">
            <v>ind_pr</v>
          </cell>
          <cell r="L170">
            <v>4211.45</v>
          </cell>
          <cell r="M170">
            <v>0</v>
          </cell>
          <cell r="N170" t="str">
            <v>hosp_nor</v>
          </cell>
          <cell r="O170">
            <v>1760</v>
          </cell>
          <cell r="P170">
            <v>0</v>
          </cell>
        </row>
        <row r="171">
          <cell r="A171" t="str">
            <v>Jaguapita</v>
          </cell>
          <cell r="B171" t="str">
            <v>var_ld</v>
          </cell>
          <cell r="C171">
            <v>4750</v>
          </cell>
          <cell r="D171">
            <v>4527</v>
          </cell>
          <cell r="E171" t="str">
            <v>dist</v>
          </cell>
          <cell r="F171">
            <v>4764</v>
          </cell>
          <cell r="G171">
            <v>4515</v>
          </cell>
          <cell r="H171" t="str">
            <v>labo</v>
          </cell>
          <cell r="I171">
            <v>3763.08</v>
          </cell>
          <cell r="J171">
            <v>3573</v>
          </cell>
          <cell r="K171" t="str">
            <v>ind_pr</v>
          </cell>
          <cell r="L171">
            <v>4211.45</v>
          </cell>
          <cell r="M171">
            <v>0</v>
          </cell>
          <cell r="N171">
            <v>0</v>
          </cell>
          <cell r="O171" t="e">
            <v>#N/A</v>
          </cell>
          <cell r="P171" t="e">
            <v>#N/A</v>
          </cell>
        </row>
        <row r="172">
          <cell r="A172" t="str">
            <v>Jaguariaiva</v>
          </cell>
          <cell r="B172" t="str">
            <v>var_pr</v>
          </cell>
          <cell r="C172">
            <v>4729.62</v>
          </cell>
          <cell r="D172">
            <v>4729.62</v>
          </cell>
          <cell r="E172" t="str">
            <v>dist</v>
          </cell>
          <cell r="F172">
            <v>4764</v>
          </cell>
          <cell r="G172">
            <v>4515</v>
          </cell>
          <cell r="H172" t="str">
            <v>labo</v>
          </cell>
          <cell r="I172">
            <v>3763.08</v>
          </cell>
          <cell r="J172">
            <v>3573</v>
          </cell>
          <cell r="K172" t="str">
            <v>ind_pr</v>
          </cell>
          <cell r="L172">
            <v>4211.45</v>
          </cell>
          <cell r="M172">
            <v>0</v>
          </cell>
          <cell r="N172">
            <v>0</v>
          </cell>
          <cell r="O172" t="e">
            <v>#N/A</v>
          </cell>
          <cell r="P172" t="e">
            <v>#N/A</v>
          </cell>
        </row>
        <row r="173">
          <cell r="A173" t="str">
            <v>Jandaia do Sul</v>
          </cell>
          <cell r="B173" t="str">
            <v>var_ld</v>
          </cell>
          <cell r="C173">
            <v>4750</v>
          </cell>
          <cell r="D173">
            <v>4527</v>
          </cell>
          <cell r="E173" t="str">
            <v>dist</v>
          </cell>
          <cell r="F173">
            <v>4764</v>
          </cell>
          <cell r="G173">
            <v>4515</v>
          </cell>
          <cell r="H173" t="str">
            <v>labo</v>
          </cell>
          <cell r="I173">
            <v>3763.08</v>
          </cell>
          <cell r="J173">
            <v>3573</v>
          </cell>
          <cell r="K173" t="str">
            <v>ind_pr</v>
          </cell>
          <cell r="L173">
            <v>4211.45</v>
          </cell>
          <cell r="M173">
            <v>0</v>
          </cell>
          <cell r="N173">
            <v>0</v>
          </cell>
          <cell r="O173" t="e">
            <v>#N/A</v>
          </cell>
          <cell r="P173" t="e">
            <v>#N/A</v>
          </cell>
        </row>
        <row r="174">
          <cell r="A174" t="str">
            <v>Janiopolis</v>
          </cell>
          <cell r="B174" t="str">
            <v>var_pr</v>
          </cell>
          <cell r="C174">
            <v>4729.62</v>
          </cell>
          <cell r="D174">
            <v>4729.62</v>
          </cell>
          <cell r="E174" t="str">
            <v>dist</v>
          </cell>
          <cell r="F174">
            <v>4764</v>
          </cell>
          <cell r="G174">
            <v>4515</v>
          </cell>
          <cell r="H174" t="str">
            <v>labo</v>
          </cell>
          <cell r="I174">
            <v>3763.08</v>
          </cell>
          <cell r="J174">
            <v>3573</v>
          </cell>
          <cell r="K174" t="str">
            <v>ind_pr</v>
          </cell>
          <cell r="L174">
            <v>4211.45</v>
          </cell>
          <cell r="M174">
            <v>0</v>
          </cell>
          <cell r="N174" t="str">
            <v>hosp_cm</v>
          </cell>
          <cell r="O174">
            <v>4133.2</v>
          </cell>
          <cell r="P174">
            <v>0</v>
          </cell>
        </row>
        <row r="175">
          <cell r="A175" t="str">
            <v>Japira</v>
          </cell>
          <cell r="B175" t="str">
            <v>var_sto</v>
          </cell>
          <cell r="C175">
            <v>5030</v>
          </cell>
          <cell r="D175">
            <v>5030</v>
          </cell>
          <cell r="E175" t="str">
            <v>dist</v>
          </cell>
          <cell r="F175">
            <v>4764</v>
          </cell>
          <cell r="G175">
            <v>4515</v>
          </cell>
          <cell r="H175" t="str">
            <v>labo</v>
          </cell>
          <cell r="I175">
            <v>3763.08</v>
          </cell>
          <cell r="J175">
            <v>3573</v>
          </cell>
          <cell r="K175" t="str">
            <v>ind_pr</v>
          </cell>
          <cell r="L175">
            <v>4211.45</v>
          </cell>
          <cell r="M175">
            <v>0</v>
          </cell>
          <cell r="N175" t="str">
            <v>hosp_nor</v>
          </cell>
          <cell r="O175">
            <v>1760</v>
          </cell>
          <cell r="P175">
            <v>0</v>
          </cell>
        </row>
        <row r="176">
          <cell r="A176" t="str">
            <v>Japura</v>
          </cell>
          <cell r="B176" t="str">
            <v>var_pr</v>
          </cell>
          <cell r="C176">
            <v>4729.62</v>
          </cell>
          <cell r="D176">
            <v>4729.62</v>
          </cell>
          <cell r="E176" t="str">
            <v>dist</v>
          </cell>
          <cell r="F176">
            <v>4764</v>
          </cell>
          <cell r="G176">
            <v>4515</v>
          </cell>
          <cell r="H176" t="str">
            <v>labo</v>
          </cell>
          <cell r="I176">
            <v>3763.08</v>
          </cell>
          <cell r="J176">
            <v>3573</v>
          </cell>
          <cell r="K176" t="str">
            <v>ind_pr</v>
          </cell>
          <cell r="L176">
            <v>4211.45</v>
          </cell>
          <cell r="M176">
            <v>0</v>
          </cell>
          <cell r="N176" t="str">
            <v>hosp_cia</v>
          </cell>
          <cell r="O176">
            <v>4003.87</v>
          </cell>
          <cell r="P176">
            <v>0</v>
          </cell>
        </row>
        <row r="177">
          <cell r="A177" t="str">
            <v>Jardim Alegre</v>
          </cell>
          <cell r="B177" t="str">
            <v>var_pr</v>
          </cell>
          <cell r="C177">
            <v>4729.62</v>
          </cell>
          <cell r="D177">
            <v>4729.62</v>
          </cell>
          <cell r="E177" t="str">
            <v>dist</v>
          </cell>
          <cell r="F177">
            <v>4764</v>
          </cell>
          <cell r="G177">
            <v>4515</v>
          </cell>
          <cell r="H177" t="str">
            <v>labo</v>
          </cell>
          <cell r="I177">
            <v>3763.08</v>
          </cell>
          <cell r="J177">
            <v>3573</v>
          </cell>
          <cell r="K177" t="str">
            <v>ind_pr</v>
          </cell>
          <cell r="L177">
            <v>4211.45</v>
          </cell>
          <cell r="M177">
            <v>0</v>
          </cell>
          <cell r="N177">
            <v>0</v>
          </cell>
          <cell r="O177" t="e">
            <v>#N/A</v>
          </cell>
          <cell r="P177" t="e">
            <v>#N/A</v>
          </cell>
        </row>
        <row r="178">
          <cell r="A178" t="str">
            <v>Jardim Olinda</v>
          </cell>
          <cell r="B178" t="str">
            <v>var_par</v>
          </cell>
          <cell r="C178">
            <v>4846</v>
          </cell>
          <cell r="D178">
            <v>4846</v>
          </cell>
          <cell r="E178" t="str">
            <v>dist</v>
          </cell>
          <cell r="F178">
            <v>4764</v>
          </cell>
          <cell r="G178">
            <v>4515</v>
          </cell>
          <cell r="H178" t="str">
            <v>labo</v>
          </cell>
          <cell r="I178">
            <v>3763.08</v>
          </cell>
          <cell r="J178">
            <v>3573</v>
          </cell>
          <cell r="K178" t="str">
            <v>ind_pr</v>
          </cell>
          <cell r="L178">
            <v>4211.45</v>
          </cell>
          <cell r="M178">
            <v>0</v>
          </cell>
          <cell r="N178">
            <v>0</v>
          </cell>
          <cell r="O178" t="e">
            <v>#N/A</v>
          </cell>
          <cell r="P178" t="e">
            <v>#N/A</v>
          </cell>
        </row>
        <row r="179">
          <cell r="A179" t="str">
            <v>Jataizinho</v>
          </cell>
          <cell r="B179" t="str">
            <v>var_ld</v>
          </cell>
          <cell r="C179">
            <v>4750</v>
          </cell>
          <cell r="D179">
            <v>4527</v>
          </cell>
          <cell r="E179" t="str">
            <v>dist</v>
          </cell>
          <cell r="F179">
            <v>4764</v>
          </cell>
          <cell r="G179">
            <v>4515</v>
          </cell>
          <cell r="H179" t="str">
            <v>labo</v>
          </cell>
          <cell r="I179">
            <v>3763.08</v>
          </cell>
          <cell r="J179">
            <v>3573</v>
          </cell>
          <cell r="K179" t="str">
            <v>ind_pr</v>
          </cell>
          <cell r="L179">
            <v>4211.45</v>
          </cell>
          <cell r="M179">
            <v>0</v>
          </cell>
          <cell r="N179">
            <v>0</v>
          </cell>
          <cell r="O179" t="e">
            <v>#N/A</v>
          </cell>
          <cell r="P179" t="e">
            <v>#N/A</v>
          </cell>
        </row>
        <row r="180">
          <cell r="A180" t="str">
            <v>Jesuitas</v>
          </cell>
          <cell r="B180" t="str">
            <v>var_op</v>
          </cell>
          <cell r="C180">
            <v>4653</v>
          </cell>
          <cell r="D180">
            <v>4452</v>
          </cell>
          <cell r="E180" t="str">
            <v>dist</v>
          </cell>
          <cell r="F180">
            <v>4764</v>
          </cell>
          <cell r="G180">
            <v>4515</v>
          </cell>
          <cell r="H180" t="str">
            <v>labo</v>
          </cell>
          <cell r="I180">
            <v>3763.08</v>
          </cell>
          <cell r="J180">
            <v>3573</v>
          </cell>
          <cell r="K180" t="str">
            <v>ind_pr</v>
          </cell>
          <cell r="L180">
            <v>4211.45</v>
          </cell>
          <cell r="M180">
            <v>0</v>
          </cell>
          <cell r="N180">
            <v>0</v>
          </cell>
          <cell r="O180" t="e">
            <v>#N/A</v>
          </cell>
          <cell r="P180" t="e">
            <v>#N/A</v>
          </cell>
        </row>
        <row r="181">
          <cell r="A181" t="str">
            <v>Joaquim Tavora</v>
          </cell>
          <cell r="B181" t="str">
            <v>var_sto</v>
          </cell>
          <cell r="C181">
            <v>5030</v>
          </cell>
          <cell r="D181">
            <v>5030</v>
          </cell>
          <cell r="E181" t="str">
            <v>dist</v>
          </cell>
          <cell r="F181">
            <v>4764</v>
          </cell>
          <cell r="G181">
            <v>4515</v>
          </cell>
          <cell r="H181" t="str">
            <v>labo</v>
          </cell>
          <cell r="I181">
            <v>3763.08</v>
          </cell>
          <cell r="J181">
            <v>3573</v>
          </cell>
          <cell r="K181" t="str">
            <v>ind_pr</v>
          </cell>
          <cell r="L181">
            <v>4211.45</v>
          </cell>
          <cell r="M181">
            <v>0</v>
          </cell>
          <cell r="N181" t="str">
            <v>hosp_nor</v>
          </cell>
          <cell r="O181">
            <v>1760</v>
          </cell>
          <cell r="P181">
            <v>0</v>
          </cell>
        </row>
        <row r="182">
          <cell r="A182" t="str">
            <v>Jundiai do Sul</v>
          </cell>
          <cell r="B182" t="str">
            <v>var_sto</v>
          </cell>
          <cell r="C182">
            <v>5030</v>
          </cell>
          <cell r="D182">
            <v>5030</v>
          </cell>
          <cell r="E182" t="str">
            <v>dist</v>
          </cell>
          <cell r="F182">
            <v>4764</v>
          </cell>
          <cell r="G182">
            <v>4515</v>
          </cell>
          <cell r="H182" t="str">
            <v>labo</v>
          </cell>
          <cell r="I182">
            <v>3763.08</v>
          </cell>
          <cell r="J182">
            <v>3573</v>
          </cell>
          <cell r="K182" t="str">
            <v>ind_pr</v>
          </cell>
          <cell r="L182">
            <v>4211.45</v>
          </cell>
          <cell r="M182">
            <v>0</v>
          </cell>
          <cell r="N182" t="str">
            <v>hosp_nor</v>
          </cell>
          <cell r="O182">
            <v>1760</v>
          </cell>
          <cell r="P182">
            <v>0</v>
          </cell>
        </row>
        <row r="183">
          <cell r="A183" t="str">
            <v>Juranda</v>
          </cell>
          <cell r="B183" t="str">
            <v>var_pr</v>
          </cell>
          <cell r="C183">
            <v>4729.62</v>
          </cell>
          <cell r="D183">
            <v>4729.62</v>
          </cell>
          <cell r="E183" t="str">
            <v>dist</v>
          </cell>
          <cell r="F183">
            <v>4764</v>
          </cell>
          <cell r="G183">
            <v>4515</v>
          </cell>
          <cell r="H183" t="str">
            <v>labo</v>
          </cell>
          <cell r="I183">
            <v>3763.08</v>
          </cell>
          <cell r="J183">
            <v>3573</v>
          </cell>
          <cell r="K183" t="str">
            <v>ind_pr</v>
          </cell>
          <cell r="L183">
            <v>4211.45</v>
          </cell>
          <cell r="M183">
            <v>0</v>
          </cell>
          <cell r="N183" t="str">
            <v>hosp_cm</v>
          </cell>
          <cell r="O183">
            <v>4133.2</v>
          </cell>
          <cell r="P183">
            <v>0</v>
          </cell>
        </row>
        <row r="184">
          <cell r="A184" t="str">
            <v>Jussara</v>
          </cell>
          <cell r="B184" t="str">
            <v>var_pr</v>
          </cell>
          <cell r="C184">
            <v>4729.62</v>
          </cell>
          <cell r="D184">
            <v>4729.62</v>
          </cell>
          <cell r="E184" t="str">
            <v>dist</v>
          </cell>
          <cell r="F184">
            <v>4764</v>
          </cell>
          <cell r="G184">
            <v>4515</v>
          </cell>
          <cell r="H184" t="str">
            <v>labo</v>
          </cell>
          <cell r="I184">
            <v>3763.08</v>
          </cell>
          <cell r="J184">
            <v>3573</v>
          </cell>
          <cell r="K184" t="str">
            <v>ind_pr</v>
          </cell>
          <cell r="L184">
            <v>4211.45</v>
          </cell>
          <cell r="M184">
            <v>0</v>
          </cell>
          <cell r="N184" t="str">
            <v>hosp_cia</v>
          </cell>
          <cell r="O184">
            <v>4003.87</v>
          </cell>
          <cell r="P184">
            <v>0</v>
          </cell>
        </row>
        <row r="185">
          <cell r="A185" t="str">
            <v>Kalore</v>
          </cell>
          <cell r="B185" t="str">
            <v>var_ld</v>
          </cell>
          <cell r="C185">
            <v>4750</v>
          </cell>
          <cell r="D185">
            <v>4527</v>
          </cell>
          <cell r="E185" t="str">
            <v>dist</v>
          </cell>
          <cell r="F185">
            <v>4764</v>
          </cell>
          <cell r="G185">
            <v>4515</v>
          </cell>
          <cell r="H185" t="str">
            <v>labo</v>
          </cell>
          <cell r="I185">
            <v>3763.08</v>
          </cell>
          <cell r="J185">
            <v>3573</v>
          </cell>
          <cell r="K185" t="str">
            <v>ind_pr</v>
          </cell>
          <cell r="L185">
            <v>4211.45</v>
          </cell>
          <cell r="M185">
            <v>0</v>
          </cell>
          <cell r="N185">
            <v>0</v>
          </cell>
          <cell r="O185" t="e">
            <v>#N/A</v>
          </cell>
          <cell r="P185" t="e">
            <v>#N/A</v>
          </cell>
        </row>
        <row r="186">
          <cell r="A186" t="str">
            <v>Lapa</v>
          </cell>
          <cell r="B186" t="str">
            <v>var_pr</v>
          </cell>
          <cell r="C186">
            <v>4729.62</v>
          </cell>
          <cell r="D186">
            <v>4729.62</v>
          </cell>
          <cell r="E186" t="str">
            <v>dist</v>
          </cell>
          <cell r="F186">
            <v>4764</v>
          </cell>
          <cell r="G186">
            <v>4515</v>
          </cell>
          <cell r="H186" t="str">
            <v>labo</v>
          </cell>
          <cell r="I186">
            <v>3763.08</v>
          </cell>
          <cell r="J186">
            <v>3573</v>
          </cell>
          <cell r="K186" t="str">
            <v>ind_pr</v>
          </cell>
          <cell r="L186">
            <v>4211.45</v>
          </cell>
          <cell r="M186">
            <v>0</v>
          </cell>
          <cell r="N186" t="str">
            <v>hosp_pr</v>
          </cell>
          <cell r="O186">
            <v>4567</v>
          </cell>
          <cell r="P186">
            <v>0</v>
          </cell>
        </row>
        <row r="187">
          <cell r="A187" t="str">
            <v>Laranjal</v>
          </cell>
          <cell r="B187" t="str">
            <v>var_pr</v>
          </cell>
          <cell r="C187">
            <v>4729.62</v>
          </cell>
          <cell r="D187">
            <v>4729.62</v>
          </cell>
          <cell r="E187" t="str">
            <v>dist</v>
          </cell>
          <cell r="F187">
            <v>4764</v>
          </cell>
          <cell r="G187">
            <v>4515</v>
          </cell>
          <cell r="H187" t="str">
            <v>labo</v>
          </cell>
          <cell r="I187">
            <v>3763.08</v>
          </cell>
          <cell r="J187">
            <v>3573</v>
          </cell>
          <cell r="K187" t="str">
            <v>ind_pr</v>
          </cell>
          <cell r="L187">
            <v>4211.45</v>
          </cell>
          <cell r="M187">
            <v>0</v>
          </cell>
          <cell r="N187" t="str">
            <v>hosp_co</v>
          </cell>
          <cell r="O187">
            <v>3036.29</v>
          </cell>
          <cell r="P187">
            <v>0</v>
          </cell>
        </row>
        <row r="188">
          <cell r="A188" t="str">
            <v>Laranjeiras do Sul</v>
          </cell>
          <cell r="B188" t="str">
            <v>var_op</v>
          </cell>
          <cell r="C188">
            <v>4653</v>
          </cell>
          <cell r="D188">
            <v>4452</v>
          </cell>
          <cell r="E188" t="str">
            <v>dist</v>
          </cell>
          <cell r="F188">
            <v>4764</v>
          </cell>
          <cell r="G188">
            <v>4515</v>
          </cell>
          <cell r="H188" t="str">
            <v>labo</v>
          </cell>
          <cell r="I188">
            <v>3763.08</v>
          </cell>
          <cell r="J188">
            <v>3573</v>
          </cell>
          <cell r="K188" t="str">
            <v>ind_pr</v>
          </cell>
          <cell r="L188">
            <v>4211.45</v>
          </cell>
          <cell r="M188">
            <v>0</v>
          </cell>
          <cell r="N188" t="str">
            <v>hosp_co</v>
          </cell>
          <cell r="O188">
            <v>3036.29</v>
          </cell>
          <cell r="P188">
            <v>0</v>
          </cell>
        </row>
        <row r="189">
          <cell r="A189" t="str">
            <v>Leopolis</v>
          </cell>
          <cell r="B189" t="str">
            <v>var_ld</v>
          </cell>
          <cell r="C189">
            <v>4750</v>
          </cell>
          <cell r="D189">
            <v>4527</v>
          </cell>
          <cell r="E189" t="str">
            <v>dist</v>
          </cell>
          <cell r="F189">
            <v>4764</v>
          </cell>
          <cell r="G189">
            <v>4515</v>
          </cell>
          <cell r="H189" t="str">
            <v>labo</v>
          </cell>
          <cell r="I189">
            <v>3763.08</v>
          </cell>
          <cell r="J189">
            <v>3573</v>
          </cell>
          <cell r="K189" t="str">
            <v>ind_pr</v>
          </cell>
          <cell r="L189">
            <v>4211.45</v>
          </cell>
          <cell r="M189">
            <v>0</v>
          </cell>
          <cell r="N189">
            <v>0</v>
          </cell>
          <cell r="O189" t="e">
            <v>#N/A</v>
          </cell>
          <cell r="P189" t="e">
            <v>#N/A</v>
          </cell>
        </row>
        <row r="190">
          <cell r="A190" t="str">
            <v>Lidianopolis</v>
          </cell>
          <cell r="B190" t="str">
            <v>var_pr</v>
          </cell>
          <cell r="C190">
            <v>4729.62</v>
          </cell>
          <cell r="D190">
            <v>4729.62</v>
          </cell>
          <cell r="E190" t="str">
            <v>dist</v>
          </cell>
          <cell r="F190">
            <v>4764</v>
          </cell>
          <cell r="G190">
            <v>4515</v>
          </cell>
          <cell r="H190" t="str">
            <v>labo</v>
          </cell>
          <cell r="I190">
            <v>3763.08</v>
          </cell>
          <cell r="J190">
            <v>3573</v>
          </cell>
          <cell r="K190" t="str">
            <v>ind_pr</v>
          </cell>
          <cell r="L190">
            <v>4211.45</v>
          </cell>
          <cell r="M190">
            <v>0</v>
          </cell>
          <cell r="N190">
            <v>0</v>
          </cell>
          <cell r="O190" t="e">
            <v>#N/A</v>
          </cell>
          <cell r="P190" t="e">
            <v>#N/A</v>
          </cell>
        </row>
        <row r="191">
          <cell r="A191" t="str">
            <v>Lindoeste</v>
          </cell>
          <cell r="B191" t="str">
            <v>var_op</v>
          </cell>
          <cell r="C191">
            <v>4653</v>
          </cell>
          <cell r="D191">
            <v>4452</v>
          </cell>
          <cell r="E191" t="str">
            <v>dist</v>
          </cell>
          <cell r="F191">
            <v>4764</v>
          </cell>
          <cell r="G191">
            <v>4515</v>
          </cell>
          <cell r="H191" t="str">
            <v>labo</v>
          </cell>
          <cell r="I191">
            <v>3763.08</v>
          </cell>
          <cell r="J191">
            <v>3573</v>
          </cell>
          <cell r="K191" t="str">
            <v>ind_pr</v>
          </cell>
          <cell r="L191">
            <v>4211.45</v>
          </cell>
          <cell r="M191">
            <v>0</v>
          </cell>
          <cell r="N191">
            <v>0</v>
          </cell>
          <cell r="O191" t="e">
            <v>#N/A</v>
          </cell>
          <cell r="P191" t="e">
            <v>#N/A</v>
          </cell>
        </row>
        <row r="192">
          <cell r="A192" t="str">
            <v>Loanda</v>
          </cell>
          <cell r="B192" t="str">
            <v>var_par</v>
          </cell>
          <cell r="C192">
            <v>4846</v>
          </cell>
          <cell r="D192">
            <v>4846</v>
          </cell>
          <cell r="E192" t="str">
            <v>dist</v>
          </cell>
          <cell r="F192">
            <v>4764</v>
          </cell>
          <cell r="G192">
            <v>4515</v>
          </cell>
          <cell r="H192" t="str">
            <v>labo</v>
          </cell>
          <cell r="I192">
            <v>3763.08</v>
          </cell>
          <cell r="J192">
            <v>3573</v>
          </cell>
          <cell r="K192" t="str">
            <v>ind_pr</v>
          </cell>
          <cell r="L192">
            <v>4211.45</v>
          </cell>
          <cell r="M192">
            <v>0</v>
          </cell>
          <cell r="N192">
            <v>0</v>
          </cell>
          <cell r="O192" t="e">
            <v>#N/A</v>
          </cell>
          <cell r="P192" t="e">
            <v>#N/A</v>
          </cell>
        </row>
        <row r="193">
          <cell r="A193" t="str">
            <v>Lobato</v>
          </cell>
          <cell r="B193" t="str">
            <v>var_pr</v>
          </cell>
          <cell r="C193">
            <v>4729.62</v>
          </cell>
          <cell r="D193">
            <v>4729.62</v>
          </cell>
          <cell r="E193" t="str">
            <v>dist</v>
          </cell>
          <cell r="F193">
            <v>4764</v>
          </cell>
          <cell r="G193">
            <v>4515</v>
          </cell>
          <cell r="H193" t="str">
            <v>labo</v>
          </cell>
          <cell r="I193">
            <v>3763.08</v>
          </cell>
          <cell r="J193">
            <v>3573</v>
          </cell>
          <cell r="K193" t="str">
            <v>ind_pr</v>
          </cell>
          <cell r="L193">
            <v>4211.45</v>
          </cell>
          <cell r="M193">
            <v>0</v>
          </cell>
          <cell r="N193" t="str">
            <v>hosp_mg</v>
          </cell>
          <cell r="O193">
            <v>3888.38</v>
          </cell>
          <cell r="P193">
            <v>0</v>
          </cell>
        </row>
        <row r="194">
          <cell r="A194" t="str">
            <v>Londrina</v>
          </cell>
          <cell r="B194" t="str">
            <v>var_ld</v>
          </cell>
          <cell r="C194">
            <v>4750</v>
          </cell>
          <cell r="D194">
            <v>4527</v>
          </cell>
          <cell r="E194" t="str">
            <v>dist</v>
          </cell>
          <cell r="F194">
            <v>4764</v>
          </cell>
          <cell r="G194">
            <v>4515</v>
          </cell>
          <cell r="H194" t="str">
            <v>labo</v>
          </cell>
          <cell r="I194">
            <v>3763.08</v>
          </cell>
          <cell r="J194">
            <v>3573</v>
          </cell>
          <cell r="K194" t="str">
            <v>ind_nor</v>
          </cell>
          <cell r="L194">
            <v>3446</v>
          </cell>
          <cell r="M194">
            <v>0</v>
          </cell>
          <cell r="N194">
            <v>0</v>
          </cell>
          <cell r="O194" t="e">
            <v>#N/A</v>
          </cell>
          <cell r="P194" t="e">
            <v>#N/A</v>
          </cell>
        </row>
        <row r="195">
          <cell r="A195" t="str">
            <v>Luiziana</v>
          </cell>
          <cell r="B195" t="str">
            <v>var_pr</v>
          </cell>
          <cell r="C195">
            <v>4729.62</v>
          </cell>
          <cell r="D195">
            <v>4729.62</v>
          </cell>
          <cell r="E195" t="str">
            <v>dist</v>
          </cell>
          <cell r="F195">
            <v>4764</v>
          </cell>
          <cell r="G195">
            <v>4515</v>
          </cell>
          <cell r="H195" t="str">
            <v>labo</v>
          </cell>
          <cell r="I195">
            <v>3763.08</v>
          </cell>
          <cell r="J195">
            <v>3573</v>
          </cell>
          <cell r="K195" t="str">
            <v>ind_pr</v>
          </cell>
          <cell r="L195">
            <v>4211.45</v>
          </cell>
          <cell r="M195">
            <v>0</v>
          </cell>
          <cell r="N195" t="str">
            <v>hosp_cm</v>
          </cell>
          <cell r="O195">
            <v>4133.2</v>
          </cell>
          <cell r="P195">
            <v>0</v>
          </cell>
        </row>
        <row r="196">
          <cell r="A196" t="str">
            <v>Lunardelli</v>
          </cell>
          <cell r="B196" t="str">
            <v>var_pr</v>
          </cell>
          <cell r="C196">
            <v>4729.62</v>
          </cell>
          <cell r="D196">
            <v>4729.62</v>
          </cell>
          <cell r="E196" t="str">
            <v>dist</v>
          </cell>
          <cell r="F196">
            <v>4764</v>
          </cell>
          <cell r="G196">
            <v>4515</v>
          </cell>
          <cell r="H196" t="str">
            <v>labo</v>
          </cell>
          <cell r="I196">
            <v>3763.08</v>
          </cell>
          <cell r="J196">
            <v>3573</v>
          </cell>
          <cell r="K196" t="str">
            <v>ind_pr</v>
          </cell>
          <cell r="L196">
            <v>4211.45</v>
          </cell>
          <cell r="M196">
            <v>0</v>
          </cell>
          <cell r="N196">
            <v>0</v>
          </cell>
          <cell r="O196" t="e">
            <v>#N/A</v>
          </cell>
          <cell r="P196" t="e">
            <v>#N/A</v>
          </cell>
        </row>
        <row r="197">
          <cell r="A197" t="str">
            <v>Lupionopolis</v>
          </cell>
          <cell r="B197" t="str">
            <v>var_ld</v>
          </cell>
          <cell r="C197">
            <v>4750</v>
          </cell>
          <cell r="D197">
            <v>4527</v>
          </cell>
          <cell r="E197" t="str">
            <v>dist</v>
          </cell>
          <cell r="F197">
            <v>4764</v>
          </cell>
          <cell r="G197">
            <v>4515</v>
          </cell>
          <cell r="H197" t="str">
            <v>labo</v>
          </cell>
          <cell r="I197">
            <v>3763.08</v>
          </cell>
          <cell r="J197">
            <v>3573</v>
          </cell>
          <cell r="K197" t="str">
            <v>ind_pr</v>
          </cell>
          <cell r="L197">
            <v>4211.45</v>
          </cell>
          <cell r="M197">
            <v>0</v>
          </cell>
          <cell r="N197">
            <v>0</v>
          </cell>
          <cell r="O197" t="e">
            <v>#N/A</v>
          </cell>
          <cell r="P197" t="e">
            <v>#N/A</v>
          </cell>
        </row>
        <row r="198">
          <cell r="A198" t="str">
            <v>Mallet</v>
          </cell>
          <cell r="B198" t="str">
            <v>var_pr</v>
          </cell>
          <cell r="C198">
            <v>4729.62</v>
          </cell>
          <cell r="D198">
            <v>4729.62</v>
          </cell>
          <cell r="E198" t="str">
            <v>dist</v>
          </cell>
          <cell r="F198">
            <v>4764</v>
          </cell>
          <cell r="G198">
            <v>4515</v>
          </cell>
          <cell r="H198" t="str">
            <v>labo</v>
          </cell>
          <cell r="I198">
            <v>3763.08</v>
          </cell>
          <cell r="J198">
            <v>3573</v>
          </cell>
          <cell r="K198" t="str">
            <v>ind_pr</v>
          </cell>
          <cell r="L198">
            <v>4211.45</v>
          </cell>
          <cell r="M198">
            <v>0</v>
          </cell>
          <cell r="N198">
            <v>0</v>
          </cell>
          <cell r="O198" t="e">
            <v>#N/A</v>
          </cell>
          <cell r="P198" t="e">
            <v>#N/A</v>
          </cell>
        </row>
        <row r="199">
          <cell r="A199" t="str">
            <v>Mambore</v>
          </cell>
          <cell r="B199" t="str">
            <v>var_pr</v>
          </cell>
          <cell r="C199">
            <v>4729.62</v>
          </cell>
          <cell r="D199">
            <v>4729.62</v>
          </cell>
          <cell r="E199" t="str">
            <v>dist</v>
          </cell>
          <cell r="F199">
            <v>4764</v>
          </cell>
          <cell r="G199">
            <v>4515</v>
          </cell>
          <cell r="H199" t="str">
            <v>labo</v>
          </cell>
          <cell r="I199">
            <v>3763.08</v>
          </cell>
          <cell r="J199">
            <v>3573</v>
          </cell>
          <cell r="K199" t="str">
            <v>ind_pr</v>
          </cell>
          <cell r="L199">
            <v>4211.45</v>
          </cell>
          <cell r="M199">
            <v>0</v>
          </cell>
          <cell r="N199" t="str">
            <v>hosp_cm</v>
          </cell>
          <cell r="O199">
            <v>4133.2</v>
          </cell>
          <cell r="P199">
            <v>0</v>
          </cell>
        </row>
        <row r="200">
          <cell r="A200" t="str">
            <v>Mandaguaçu</v>
          </cell>
          <cell r="B200" t="str">
            <v>var_pr</v>
          </cell>
          <cell r="C200">
            <v>4729.62</v>
          </cell>
          <cell r="D200">
            <v>4729.62</v>
          </cell>
          <cell r="E200" t="str">
            <v>dist</v>
          </cell>
          <cell r="F200">
            <v>4764</v>
          </cell>
          <cell r="G200">
            <v>4515</v>
          </cell>
          <cell r="H200" t="str">
            <v>labo</v>
          </cell>
          <cell r="I200">
            <v>3763.08</v>
          </cell>
          <cell r="J200">
            <v>3573</v>
          </cell>
          <cell r="K200" t="str">
            <v>ind_pr</v>
          </cell>
          <cell r="L200">
            <v>4211.45</v>
          </cell>
          <cell r="M200">
            <v>0</v>
          </cell>
          <cell r="N200" t="str">
            <v>hosp_mg</v>
          </cell>
          <cell r="O200">
            <v>3888.38</v>
          </cell>
          <cell r="P200">
            <v>0</v>
          </cell>
        </row>
        <row r="201">
          <cell r="A201" t="str">
            <v>Mandaguari</v>
          </cell>
          <cell r="B201" t="str">
            <v>var_ld</v>
          </cell>
          <cell r="C201">
            <v>4750</v>
          </cell>
          <cell r="D201">
            <v>4527</v>
          </cell>
          <cell r="E201" t="str">
            <v>dist</v>
          </cell>
          <cell r="F201">
            <v>4764</v>
          </cell>
          <cell r="G201">
            <v>4515</v>
          </cell>
          <cell r="H201" t="str">
            <v>labo</v>
          </cell>
          <cell r="I201">
            <v>3763.08</v>
          </cell>
          <cell r="J201">
            <v>3573</v>
          </cell>
          <cell r="K201" t="str">
            <v>ind_pr</v>
          </cell>
          <cell r="L201">
            <v>4211.45</v>
          </cell>
          <cell r="M201">
            <v>0</v>
          </cell>
          <cell r="N201" t="str">
            <v>hosp_mg</v>
          </cell>
          <cell r="O201">
            <v>3888.38</v>
          </cell>
          <cell r="P201">
            <v>0</v>
          </cell>
        </row>
        <row r="202">
          <cell r="A202" t="str">
            <v>Mandirituba</v>
          </cell>
          <cell r="B202" t="str">
            <v>var_pr</v>
          </cell>
          <cell r="C202">
            <v>4729.62</v>
          </cell>
          <cell r="D202">
            <v>4729.62</v>
          </cell>
          <cell r="E202" t="str">
            <v>dist</v>
          </cell>
          <cell r="F202">
            <v>4764</v>
          </cell>
          <cell r="G202">
            <v>4515</v>
          </cell>
          <cell r="H202" t="str">
            <v>labo</v>
          </cell>
          <cell r="I202">
            <v>3763.08</v>
          </cell>
          <cell r="J202">
            <v>3573</v>
          </cell>
          <cell r="K202" t="str">
            <v>ind_pr</v>
          </cell>
          <cell r="L202">
            <v>4211.45</v>
          </cell>
          <cell r="M202">
            <v>0</v>
          </cell>
          <cell r="N202" t="str">
            <v>hosp_pr</v>
          </cell>
          <cell r="O202">
            <v>4567</v>
          </cell>
          <cell r="P202">
            <v>0</v>
          </cell>
        </row>
        <row r="203">
          <cell r="A203" t="str">
            <v>Manfrinopolis</v>
          </cell>
          <cell r="B203" t="str">
            <v>var_pr</v>
          </cell>
          <cell r="C203">
            <v>4729.62</v>
          </cell>
          <cell r="D203">
            <v>4729.62</v>
          </cell>
          <cell r="E203" t="str">
            <v>dist</v>
          </cell>
          <cell r="F203">
            <v>4764</v>
          </cell>
          <cell r="G203">
            <v>4515</v>
          </cell>
          <cell r="H203" t="str">
            <v>labo</v>
          </cell>
          <cell r="I203">
            <v>3763.08</v>
          </cell>
          <cell r="J203">
            <v>3573</v>
          </cell>
          <cell r="K203" t="str">
            <v>ind_pr</v>
          </cell>
          <cell r="L203">
            <v>4211.45</v>
          </cell>
          <cell r="M203">
            <v>0</v>
          </cell>
          <cell r="N203" t="str">
            <v>hosp_sudpr</v>
          </cell>
          <cell r="O203">
            <v>1760</v>
          </cell>
          <cell r="P203">
            <v>0</v>
          </cell>
        </row>
        <row r="204">
          <cell r="A204" t="str">
            <v>Mangueirinha</v>
          </cell>
          <cell r="B204" t="str">
            <v>var_pr</v>
          </cell>
          <cell r="C204">
            <v>4729.62</v>
          </cell>
          <cell r="D204">
            <v>4729.62</v>
          </cell>
          <cell r="E204" t="str">
            <v>dist</v>
          </cell>
          <cell r="F204">
            <v>4764</v>
          </cell>
          <cell r="G204">
            <v>4515</v>
          </cell>
          <cell r="H204" t="str">
            <v>labo</v>
          </cell>
          <cell r="I204">
            <v>3763.08</v>
          </cell>
          <cell r="J204">
            <v>3573</v>
          </cell>
          <cell r="K204" t="str">
            <v>ind_pr</v>
          </cell>
          <cell r="L204">
            <v>4211.45</v>
          </cell>
          <cell r="M204">
            <v>0</v>
          </cell>
          <cell r="N204" t="str">
            <v>hosp_pb</v>
          </cell>
          <cell r="O204">
            <v>1760</v>
          </cell>
          <cell r="P204">
            <v>0</v>
          </cell>
        </row>
        <row r="205">
          <cell r="A205" t="str">
            <v>Manoel Ribas</v>
          </cell>
          <cell r="B205" t="str">
            <v>var_pr</v>
          </cell>
          <cell r="C205">
            <v>4729.62</v>
          </cell>
          <cell r="D205">
            <v>4729.62</v>
          </cell>
          <cell r="E205" t="str">
            <v>dist</v>
          </cell>
          <cell r="F205">
            <v>4764</v>
          </cell>
          <cell r="G205">
            <v>4515</v>
          </cell>
          <cell r="H205" t="str">
            <v>labo</v>
          </cell>
          <cell r="I205">
            <v>3763.08</v>
          </cell>
          <cell r="J205">
            <v>3573</v>
          </cell>
          <cell r="K205" t="str">
            <v>ind_pr</v>
          </cell>
          <cell r="L205">
            <v>4211.45</v>
          </cell>
          <cell r="M205">
            <v>0</v>
          </cell>
          <cell r="N205">
            <v>0</v>
          </cell>
          <cell r="O205" t="e">
            <v>#N/A</v>
          </cell>
          <cell r="P205" t="e">
            <v>#N/A</v>
          </cell>
        </row>
        <row r="206">
          <cell r="A206" t="str">
            <v>Marechal Candido Rondon</v>
          </cell>
          <cell r="B206" t="str">
            <v>var_op</v>
          </cell>
          <cell r="C206">
            <v>4653</v>
          </cell>
          <cell r="D206">
            <v>4452</v>
          </cell>
          <cell r="E206" t="str">
            <v>dist</v>
          </cell>
          <cell r="F206">
            <v>4764</v>
          </cell>
          <cell r="G206">
            <v>4515</v>
          </cell>
          <cell r="H206" t="str">
            <v>labo</v>
          </cell>
          <cell r="I206">
            <v>3763.08</v>
          </cell>
          <cell r="J206">
            <v>3573</v>
          </cell>
          <cell r="K206" t="str">
            <v>ind_pr</v>
          </cell>
          <cell r="L206">
            <v>4211.45</v>
          </cell>
          <cell r="M206">
            <v>0</v>
          </cell>
          <cell r="N206" t="str">
            <v>hosp_pr</v>
          </cell>
          <cell r="O206">
            <v>4567</v>
          </cell>
          <cell r="P206">
            <v>0</v>
          </cell>
        </row>
        <row r="207">
          <cell r="A207" t="str">
            <v>Maria Helena</v>
          </cell>
          <cell r="B207" t="str">
            <v>var_pr</v>
          </cell>
          <cell r="C207">
            <v>4729.62</v>
          </cell>
          <cell r="D207">
            <v>4729.62</v>
          </cell>
          <cell r="E207" t="str">
            <v>dist</v>
          </cell>
          <cell r="F207">
            <v>4764</v>
          </cell>
          <cell r="G207">
            <v>4515</v>
          </cell>
          <cell r="H207" t="str">
            <v>labo</v>
          </cell>
          <cell r="I207">
            <v>3763.08</v>
          </cell>
          <cell r="J207">
            <v>3573</v>
          </cell>
          <cell r="K207" t="str">
            <v>ind_pr</v>
          </cell>
          <cell r="L207">
            <v>4211.45</v>
          </cell>
          <cell r="M207">
            <v>0</v>
          </cell>
          <cell r="N207" t="str">
            <v>hosp_umu</v>
          </cell>
          <cell r="O207">
            <v>2428.5500000000002</v>
          </cell>
          <cell r="P207">
            <v>0</v>
          </cell>
        </row>
        <row r="208">
          <cell r="A208" t="str">
            <v>Marialva</v>
          </cell>
          <cell r="B208" t="str">
            <v>var_pr</v>
          </cell>
          <cell r="C208">
            <v>4729.62</v>
          </cell>
          <cell r="D208">
            <v>4729.62</v>
          </cell>
          <cell r="E208" t="str">
            <v>dist</v>
          </cell>
          <cell r="F208">
            <v>4764</v>
          </cell>
          <cell r="G208">
            <v>4515</v>
          </cell>
          <cell r="H208" t="str">
            <v>labo</v>
          </cell>
          <cell r="I208">
            <v>3763.08</v>
          </cell>
          <cell r="J208">
            <v>3573</v>
          </cell>
          <cell r="K208" t="str">
            <v>ind_pr</v>
          </cell>
          <cell r="L208">
            <v>4211.45</v>
          </cell>
          <cell r="M208">
            <v>0</v>
          </cell>
          <cell r="N208" t="str">
            <v>hosp_mg</v>
          </cell>
          <cell r="O208">
            <v>3888.38</v>
          </cell>
          <cell r="P208">
            <v>0</v>
          </cell>
        </row>
        <row r="209">
          <cell r="A209" t="str">
            <v>Marilandia do Sul</v>
          </cell>
          <cell r="B209" t="str">
            <v>var_ld</v>
          </cell>
          <cell r="C209">
            <v>4750</v>
          </cell>
          <cell r="D209">
            <v>4527</v>
          </cell>
          <cell r="E209" t="str">
            <v>dist</v>
          </cell>
          <cell r="F209">
            <v>4764</v>
          </cell>
          <cell r="G209">
            <v>4515</v>
          </cell>
          <cell r="H209" t="str">
            <v>labo</v>
          </cell>
          <cell r="I209">
            <v>3763.08</v>
          </cell>
          <cell r="J209">
            <v>3573</v>
          </cell>
          <cell r="K209" t="str">
            <v>ind_pr</v>
          </cell>
          <cell r="L209">
            <v>4211.45</v>
          </cell>
          <cell r="M209">
            <v>0</v>
          </cell>
          <cell r="N209">
            <v>0</v>
          </cell>
          <cell r="O209" t="e">
            <v>#N/A</v>
          </cell>
          <cell r="P209" t="e">
            <v>#N/A</v>
          </cell>
        </row>
        <row r="210">
          <cell r="A210" t="str">
            <v>Marilena</v>
          </cell>
          <cell r="B210" t="str">
            <v>var_par</v>
          </cell>
          <cell r="C210">
            <v>4846</v>
          </cell>
          <cell r="D210">
            <v>4846</v>
          </cell>
          <cell r="E210" t="str">
            <v>dist</v>
          </cell>
          <cell r="F210">
            <v>4764</v>
          </cell>
          <cell r="G210">
            <v>4515</v>
          </cell>
          <cell r="H210" t="str">
            <v>labo</v>
          </cell>
          <cell r="I210">
            <v>3763.08</v>
          </cell>
          <cell r="J210">
            <v>3573</v>
          </cell>
          <cell r="K210" t="str">
            <v>ind_pr</v>
          </cell>
          <cell r="L210">
            <v>4211.45</v>
          </cell>
          <cell r="M210">
            <v>0</v>
          </cell>
          <cell r="N210">
            <v>0</v>
          </cell>
          <cell r="O210" t="e">
            <v>#N/A</v>
          </cell>
          <cell r="P210" t="e">
            <v>#N/A</v>
          </cell>
        </row>
        <row r="211">
          <cell r="A211" t="str">
            <v>Mariluz</v>
          </cell>
          <cell r="B211" t="str">
            <v>var_pr</v>
          </cell>
          <cell r="C211">
            <v>4729.62</v>
          </cell>
          <cell r="D211">
            <v>4729.62</v>
          </cell>
          <cell r="E211" t="str">
            <v>dist</v>
          </cell>
          <cell r="F211">
            <v>4764</v>
          </cell>
          <cell r="G211">
            <v>4515</v>
          </cell>
          <cell r="H211" t="str">
            <v>labo</v>
          </cell>
          <cell r="I211">
            <v>3763.08</v>
          </cell>
          <cell r="J211">
            <v>3573</v>
          </cell>
          <cell r="K211" t="str">
            <v>ind_pr</v>
          </cell>
          <cell r="L211">
            <v>4211.45</v>
          </cell>
          <cell r="M211">
            <v>0</v>
          </cell>
          <cell r="N211" t="str">
            <v>hosp_umu</v>
          </cell>
          <cell r="O211">
            <v>2428.5500000000002</v>
          </cell>
          <cell r="P211">
            <v>0</v>
          </cell>
        </row>
        <row r="212">
          <cell r="A212" t="str">
            <v>Maringa</v>
          </cell>
          <cell r="B212" t="str">
            <v>var_mg</v>
          </cell>
          <cell r="C212">
            <v>4773</v>
          </cell>
          <cell r="D212">
            <v>4773</v>
          </cell>
          <cell r="E212" t="str">
            <v>dist</v>
          </cell>
          <cell r="F212">
            <v>4764</v>
          </cell>
          <cell r="G212">
            <v>4515</v>
          </cell>
          <cell r="H212" t="str">
            <v>labo</v>
          </cell>
          <cell r="I212">
            <v>3763.08</v>
          </cell>
          <cell r="J212">
            <v>3573</v>
          </cell>
          <cell r="K212" t="str">
            <v>ind_pr</v>
          </cell>
          <cell r="L212">
            <v>4211.45</v>
          </cell>
          <cell r="M212">
            <v>0</v>
          </cell>
          <cell r="N212" t="str">
            <v>hosp_mg</v>
          </cell>
          <cell r="O212">
            <v>3888.38</v>
          </cell>
          <cell r="P212">
            <v>0</v>
          </cell>
        </row>
        <row r="213">
          <cell r="A213" t="str">
            <v>Mariopolis</v>
          </cell>
          <cell r="B213" t="str">
            <v>var_pr</v>
          </cell>
          <cell r="C213">
            <v>4729.62</v>
          </cell>
          <cell r="D213">
            <v>4729.62</v>
          </cell>
          <cell r="E213" t="str">
            <v>dist</v>
          </cell>
          <cell r="F213">
            <v>4764</v>
          </cell>
          <cell r="G213">
            <v>4515</v>
          </cell>
          <cell r="H213" t="str">
            <v>labo</v>
          </cell>
          <cell r="I213">
            <v>3763.08</v>
          </cell>
          <cell r="J213">
            <v>3573</v>
          </cell>
          <cell r="K213" t="str">
            <v>ind_pr</v>
          </cell>
          <cell r="L213">
            <v>4211.45</v>
          </cell>
          <cell r="M213">
            <v>0</v>
          </cell>
          <cell r="N213" t="str">
            <v>hosp_pb</v>
          </cell>
          <cell r="O213">
            <v>1760</v>
          </cell>
          <cell r="P213">
            <v>0</v>
          </cell>
        </row>
        <row r="214">
          <cell r="A214" t="str">
            <v>Maripa</v>
          </cell>
          <cell r="B214" t="str">
            <v>var_op</v>
          </cell>
          <cell r="C214">
            <v>4653</v>
          </cell>
          <cell r="D214">
            <v>4452</v>
          </cell>
          <cell r="E214" t="str">
            <v>dist</v>
          </cell>
          <cell r="F214">
            <v>4764</v>
          </cell>
          <cell r="G214">
            <v>4515</v>
          </cell>
          <cell r="H214" t="str">
            <v>labo</v>
          </cell>
          <cell r="I214">
            <v>3763.08</v>
          </cell>
          <cell r="J214">
            <v>3573</v>
          </cell>
          <cell r="K214" t="str">
            <v>ind_pr</v>
          </cell>
          <cell r="L214">
            <v>4211.45</v>
          </cell>
          <cell r="M214">
            <v>0</v>
          </cell>
          <cell r="N214">
            <v>0</v>
          </cell>
          <cell r="O214" t="e">
            <v>#N/A</v>
          </cell>
          <cell r="P214" t="e">
            <v>#N/A</v>
          </cell>
        </row>
        <row r="215">
          <cell r="A215" t="str">
            <v>Marmeleiro</v>
          </cell>
          <cell r="B215" t="str">
            <v>var_pr</v>
          </cell>
          <cell r="C215">
            <v>4729.62</v>
          </cell>
          <cell r="D215">
            <v>4729.62</v>
          </cell>
          <cell r="E215" t="str">
            <v>dist</v>
          </cell>
          <cell r="F215">
            <v>4764</v>
          </cell>
          <cell r="G215">
            <v>4515</v>
          </cell>
          <cell r="H215" t="str">
            <v>labo</v>
          </cell>
          <cell r="I215">
            <v>3763.08</v>
          </cell>
          <cell r="J215">
            <v>3573</v>
          </cell>
          <cell r="K215" t="str">
            <v>ind_pr</v>
          </cell>
          <cell r="L215">
            <v>4211.45</v>
          </cell>
          <cell r="M215">
            <v>0</v>
          </cell>
          <cell r="N215" t="str">
            <v>hosp_sudpr</v>
          </cell>
          <cell r="O215">
            <v>1760</v>
          </cell>
          <cell r="P215">
            <v>0</v>
          </cell>
        </row>
        <row r="216">
          <cell r="A216" t="str">
            <v>Marquinho</v>
          </cell>
          <cell r="B216" t="str">
            <v>var_pr</v>
          </cell>
          <cell r="C216">
            <v>4729.62</v>
          </cell>
          <cell r="D216">
            <v>4729.62</v>
          </cell>
          <cell r="E216" t="str">
            <v>dist</v>
          </cell>
          <cell r="F216">
            <v>4764</v>
          </cell>
          <cell r="G216">
            <v>4515</v>
          </cell>
          <cell r="H216" t="str">
            <v>labo</v>
          </cell>
          <cell r="I216">
            <v>3763.08</v>
          </cell>
          <cell r="J216">
            <v>3573</v>
          </cell>
          <cell r="K216" t="str">
            <v>ind_pr</v>
          </cell>
          <cell r="L216">
            <v>4211.45</v>
          </cell>
          <cell r="M216">
            <v>0</v>
          </cell>
          <cell r="N216" t="str">
            <v>hosp_co</v>
          </cell>
          <cell r="O216">
            <v>3036.29</v>
          </cell>
          <cell r="P216">
            <v>0</v>
          </cell>
        </row>
        <row r="217">
          <cell r="A217" t="str">
            <v>Marumbi</v>
          </cell>
          <cell r="B217" t="str">
            <v>var_ld</v>
          </cell>
          <cell r="C217">
            <v>4750</v>
          </cell>
          <cell r="D217">
            <v>4527</v>
          </cell>
          <cell r="E217" t="str">
            <v>dist</v>
          </cell>
          <cell r="F217">
            <v>4764</v>
          </cell>
          <cell r="G217">
            <v>4515</v>
          </cell>
          <cell r="H217" t="str">
            <v>labo</v>
          </cell>
          <cell r="I217">
            <v>3763.08</v>
          </cell>
          <cell r="J217">
            <v>3573</v>
          </cell>
          <cell r="K217" t="str">
            <v>ind_pr</v>
          </cell>
          <cell r="L217">
            <v>4211.45</v>
          </cell>
          <cell r="M217">
            <v>0</v>
          </cell>
          <cell r="N217">
            <v>0</v>
          </cell>
          <cell r="O217" t="e">
            <v>#N/A</v>
          </cell>
          <cell r="P217" t="e">
            <v>#N/A</v>
          </cell>
        </row>
        <row r="218">
          <cell r="A218" t="str">
            <v>Matelandia</v>
          </cell>
          <cell r="B218" t="str">
            <v>var_op</v>
          </cell>
          <cell r="C218">
            <v>4653</v>
          </cell>
          <cell r="D218">
            <v>4452</v>
          </cell>
          <cell r="E218" t="str">
            <v>dist</v>
          </cell>
          <cell r="F218">
            <v>4764</v>
          </cell>
          <cell r="G218">
            <v>4515</v>
          </cell>
          <cell r="H218" t="str">
            <v>labo</v>
          </cell>
          <cell r="I218">
            <v>3763.08</v>
          </cell>
          <cell r="J218">
            <v>3573</v>
          </cell>
          <cell r="K218" t="str">
            <v>ind_pr</v>
          </cell>
          <cell r="L218">
            <v>4211.45</v>
          </cell>
          <cell r="M218">
            <v>0</v>
          </cell>
          <cell r="N218" t="str">
            <v>hosp_pr</v>
          </cell>
          <cell r="O218">
            <v>4567</v>
          </cell>
          <cell r="P218">
            <v>0</v>
          </cell>
        </row>
        <row r="219">
          <cell r="A219" t="str">
            <v>Matinhos</v>
          </cell>
          <cell r="B219" t="str">
            <v>var_pr</v>
          </cell>
          <cell r="C219">
            <v>4729.62</v>
          </cell>
          <cell r="D219">
            <v>4729.62</v>
          </cell>
          <cell r="E219" t="str">
            <v>dist</v>
          </cell>
          <cell r="F219">
            <v>4764</v>
          </cell>
          <cell r="G219">
            <v>4515</v>
          </cell>
          <cell r="H219" t="str">
            <v>labo</v>
          </cell>
          <cell r="I219">
            <v>3763.08</v>
          </cell>
          <cell r="J219">
            <v>3573</v>
          </cell>
          <cell r="K219" t="str">
            <v>ind_pr</v>
          </cell>
          <cell r="L219">
            <v>4211.45</v>
          </cell>
          <cell r="M219">
            <v>0</v>
          </cell>
          <cell r="N219" t="str">
            <v>hosp_pr</v>
          </cell>
          <cell r="O219">
            <v>4567</v>
          </cell>
          <cell r="P219">
            <v>0</v>
          </cell>
        </row>
        <row r="220">
          <cell r="A220" t="str">
            <v>Mato Rico</v>
          </cell>
          <cell r="B220" t="str">
            <v>var_pr</v>
          </cell>
          <cell r="C220">
            <v>4729.62</v>
          </cell>
          <cell r="D220">
            <v>4729.62</v>
          </cell>
          <cell r="E220" t="str">
            <v>dist</v>
          </cell>
          <cell r="F220">
            <v>4764</v>
          </cell>
          <cell r="G220">
            <v>4515</v>
          </cell>
          <cell r="H220" t="str">
            <v>labo</v>
          </cell>
          <cell r="I220">
            <v>3763.08</v>
          </cell>
          <cell r="J220">
            <v>3573</v>
          </cell>
          <cell r="K220" t="str">
            <v>ind_pr</v>
          </cell>
          <cell r="L220">
            <v>4211.45</v>
          </cell>
          <cell r="M220">
            <v>0</v>
          </cell>
          <cell r="N220" t="str">
            <v>hosp_co</v>
          </cell>
          <cell r="O220">
            <v>3036.29</v>
          </cell>
          <cell r="P220">
            <v>0</v>
          </cell>
        </row>
        <row r="221">
          <cell r="A221" t="str">
            <v>Maua da Serra</v>
          </cell>
          <cell r="B221" t="str">
            <v>var_pr</v>
          </cell>
          <cell r="C221">
            <v>4729.62</v>
          </cell>
          <cell r="D221">
            <v>4729.62</v>
          </cell>
          <cell r="E221" t="str">
            <v>dist</v>
          </cell>
          <cell r="F221">
            <v>4764</v>
          </cell>
          <cell r="G221">
            <v>4515</v>
          </cell>
          <cell r="H221" t="str">
            <v>labo</v>
          </cell>
          <cell r="I221">
            <v>3763.08</v>
          </cell>
          <cell r="J221">
            <v>3573</v>
          </cell>
          <cell r="K221" t="str">
            <v>ind_pr</v>
          </cell>
          <cell r="L221">
            <v>4211.45</v>
          </cell>
          <cell r="M221">
            <v>0</v>
          </cell>
          <cell r="N221">
            <v>0</v>
          </cell>
          <cell r="O221" t="e">
            <v>#N/A</v>
          </cell>
          <cell r="P221" t="e">
            <v>#N/A</v>
          </cell>
        </row>
        <row r="222">
          <cell r="A222" t="str">
            <v>Medianeira</v>
          </cell>
          <cell r="B222" t="str">
            <v>var_op</v>
          </cell>
          <cell r="C222">
            <v>4653</v>
          </cell>
          <cell r="D222">
            <v>4452</v>
          </cell>
          <cell r="E222" t="str">
            <v>dist</v>
          </cell>
          <cell r="F222">
            <v>4764</v>
          </cell>
          <cell r="G222">
            <v>4515</v>
          </cell>
          <cell r="H222" t="str">
            <v>labo</v>
          </cell>
          <cell r="I222">
            <v>3763.08</v>
          </cell>
          <cell r="J222">
            <v>3573</v>
          </cell>
          <cell r="K222" t="str">
            <v>ind_pr</v>
          </cell>
          <cell r="L222">
            <v>4211.45</v>
          </cell>
          <cell r="M222">
            <v>0</v>
          </cell>
          <cell r="N222" t="str">
            <v>hosp_pr</v>
          </cell>
          <cell r="O222">
            <v>4567</v>
          </cell>
          <cell r="P222">
            <v>0</v>
          </cell>
        </row>
        <row r="223">
          <cell r="A223" t="str">
            <v>Mercedes</v>
          </cell>
          <cell r="B223" t="str">
            <v>var_op</v>
          </cell>
          <cell r="C223">
            <v>4653</v>
          </cell>
          <cell r="D223">
            <v>4452</v>
          </cell>
          <cell r="E223" t="str">
            <v>dist</v>
          </cell>
          <cell r="F223">
            <v>4764</v>
          </cell>
          <cell r="G223">
            <v>4515</v>
          </cell>
          <cell r="H223" t="str">
            <v>labo</v>
          </cell>
          <cell r="I223">
            <v>3763.08</v>
          </cell>
          <cell r="J223">
            <v>3573</v>
          </cell>
          <cell r="K223" t="str">
            <v>ind_pr</v>
          </cell>
          <cell r="L223">
            <v>4211.45</v>
          </cell>
          <cell r="M223">
            <v>0</v>
          </cell>
          <cell r="N223" t="str">
            <v>hosp_pr</v>
          </cell>
          <cell r="O223">
            <v>4567</v>
          </cell>
          <cell r="P223">
            <v>0</v>
          </cell>
        </row>
        <row r="224">
          <cell r="A224" t="str">
            <v>Mirador</v>
          </cell>
          <cell r="B224" t="str">
            <v>var_par</v>
          </cell>
          <cell r="C224">
            <v>4846</v>
          </cell>
          <cell r="D224">
            <v>4846</v>
          </cell>
          <cell r="E224" t="str">
            <v>dist</v>
          </cell>
          <cell r="F224">
            <v>4764</v>
          </cell>
          <cell r="G224">
            <v>4515</v>
          </cell>
          <cell r="H224" t="str">
            <v>labo</v>
          </cell>
          <cell r="I224">
            <v>3763.08</v>
          </cell>
          <cell r="J224">
            <v>3573</v>
          </cell>
          <cell r="K224" t="str">
            <v>ind_pr</v>
          </cell>
          <cell r="L224">
            <v>4211.45</v>
          </cell>
          <cell r="M224">
            <v>0</v>
          </cell>
          <cell r="N224">
            <v>0</v>
          </cell>
          <cell r="O224" t="e">
            <v>#N/A</v>
          </cell>
          <cell r="P224" t="e">
            <v>#N/A</v>
          </cell>
        </row>
        <row r="225">
          <cell r="A225" t="str">
            <v>Miraselva</v>
          </cell>
          <cell r="B225" t="str">
            <v>var_pr</v>
          </cell>
          <cell r="C225">
            <v>4729.62</v>
          </cell>
          <cell r="D225">
            <v>4729.62</v>
          </cell>
          <cell r="E225" t="str">
            <v>dist</v>
          </cell>
          <cell r="F225">
            <v>4764</v>
          </cell>
          <cell r="G225">
            <v>4515</v>
          </cell>
          <cell r="H225" t="str">
            <v>labo</v>
          </cell>
          <cell r="I225">
            <v>3763.08</v>
          </cell>
          <cell r="J225">
            <v>3573</v>
          </cell>
          <cell r="K225" t="str">
            <v>ind_pr</v>
          </cell>
          <cell r="L225">
            <v>4211.45</v>
          </cell>
          <cell r="M225">
            <v>0</v>
          </cell>
          <cell r="N225">
            <v>0</v>
          </cell>
          <cell r="O225" t="e">
            <v>#N/A</v>
          </cell>
          <cell r="P225" t="e">
            <v>#N/A</v>
          </cell>
        </row>
        <row r="226">
          <cell r="A226" t="str">
            <v>Missal</v>
          </cell>
          <cell r="B226" t="str">
            <v>var_op</v>
          </cell>
          <cell r="C226">
            <v>4653</v>
          </cell>
          <cell r="D226">
            <v>4452</v>
          </cell>
          <cell r="E226" t="str">
            <v>dist</v>
          </cell>
          <cell r="F226">
            <v>4764</v>
          </cell>
          <cell r="G226">
            <v>4515</v>
          </cell>
          <cell r="H226" t="str">
            <v>labo</v>
          </cell>
          <cell r="I226">
            <v>3763.08</v>
          </cell>
          <cell r="J226">
            <v>3573</v>
          </cell>
          <cell r="K226" t="str">
            <v>ind_pr</v>
          </cell>
          <cell r="L226">
            <v>4211.45</v>
          </cell>
          <cell r="M226">
            <v>0</v>
          </cell>
          <cell r="N226" t="str">
            <v>hosp_pr</v>
          </cell>
          <cell r="O226">
            <v>4567</v>
          </cell>
          <cell r="P226">
            <v>0</v>
          </cell>
        </row>
        <row r="227">
          <cell r="A227" t="str">
            <v>Moreira Sales</v>
          </cell>
          <cell r="B227" t="str">
            <v>var_pr</v>
          </cell>
          <cell r="C227">
            <v>4729.62</v>
          </cell>
          <cell r="D227">
            <v>4729.62</v>
          </cell>
          <cell r="E227" t="str">
            <v>dist</v>
          </cell>
          <cell r="F227">
            <v>4764</v>
          </cell>
          <cell r="G227">
            <v>4515</v>
          </cell>
          <cell r="H227" t="str">
            <v>labo</v>
          </cell>
          <cell r="I227">
            <v>3763.08</v>
          </cell>
          <cell r="J227">
            <v>3573</v>
          </cell>
          <cell r="K227" t="str">
            <v>ind_pr</v>
          </cell>
          <cell r="L227">
            <v>4211.45</v>
          </cell>
          <cell r="M227">
            <v>0</v>
          </cell>
          <cell r="N227" t="str">
            <v>hosp_cm</v>
          </cell>
          <cell r="O227">
            <v>4133.2</v>
          </cell>
          <cell r="P227">
            <v>0</v>
          </cell>
        </row>
        <row r="228">
          <cell r="A228" t="str">
            <v>Morretes</v>
          </cell>
          <cell r="B228" t="str">
            <v>var_pr</v>
          </cell>
          <cell r="C228">
            <v>4729.62</v>
          </cell>
          <cell r="D228">
            <v>4729.62</v>
          </cell>
          <cell r="E228" t="str">
            <v>dist</v>
          </cell>
          <cell r="F228">
            <v>4764</v>
          </cell>
          <cell r="G228">
            <v>4515</v>
          </cell>
          <cell r="H228" t="str">
            <v>labo</v>
          </cell>
          <cell r="I228">
            <v>3763.08</v>
          </cell>
          <cell r="J228">
            <v>3573</v>
          </cell>
          <cell r="K228" t="str">
            <v>ind_pr</v>
          </cell>
          <cell r="L228">
            <v>4211.45</v>
          </cell>
          <cell r="M228">
            <v>0</v>
          </cell>
          <cell r="N228" t="str">
            <v>hosp_pr</v>
          </cell>
          <cell r="O228">
            <v>4567</v>
          </cell>
          <cell r="P228">
            <v>0</v>
          </cell>
        </row>
        <row r="229">
          <cell r="A229" t="str">
            <v>Munhoz de Melo</v>
          </cell>
          <cell r="B229" t="str">
            <v>var_pr</v>
          </cell>
          <cell r="C229">
            <v>4729.62</v>
          </cell>
          <cell r="D229">
            <v>4729.62</v>
          </cell>
          <cell r="E229" t="str">
            <v>dist</v>
          </cell>
          <cell r="F229">
            <v>4764</v>
          </cell>
          <cell r="G229">
            <v>4515</v>
          </cell>
          <cell r="H229" t="str">
            <v>labo</v>
          </cell>
          <cell r="I229">
            <v>3763.08</v>
          </cell>
          <cell r="J229">
            <v>3573</v>
          </cell>
          <cell r="K229" t="str">
            <v>ind_pr</v>
          </cell>
          <cell r="L229">
            <v>4211.45</v>
          </cell>
          <cell r="M229">
            <v>0</v>
          </cell>
          <cell r="N229" t="str">
            <v>hosp_mg</v>
          </cell>
          <cell r="O229">
            <v>3888.38</v>
          </cell>
          <cell r="P229">
            <v>0</v>
          </cell>
        </row>
        <row r="230">
          <cell r="A230" t="str">
            <v>Nossa Senhora das Graças</v>
          </cell>
          <cell r="B230" t="str">
            <v>var_pr</v>
          </cell>
          <cell r="C230">
            <v>4729.62</v>
          </cell>
          <cell r="D230">
            <v>4729.62</v>
          </cell>
          <cell r="E230" t="str">
            <v>dist</v>
          </cell>
          <cell r="F230">
            <v>4764</v>
          </cell>
          <cell r="G230">
            <v>4515</v>
          </cell>
          <cell r="H230" t="str">
            <v>labo</v>
          </cell>
          <cell r="I230">
            <v>3763.08</v>
          </cell>
          <cell r="J230">
            <v>3573</v>
          </cell>
          <cell r="K230" t="str">
            <v>ind_pr</v>
          </cell>
          <cell r="L230">
            <v>4211.45</v>
          </cell>
          <cell r="M230">
            <v>0</v>
          </cell>
          <cell r="N230" t="str">
            <v>hosp_mg</v>
          </cell>
          <cell r="O230">
            <v>3888.38</v>
          </cell>
          <cell r="P230">
            <v>0</v>
          </cell>
        </row>
        <row r="231">
          <cell r="A231" t="str">
            <v>Nova Aliança do Ivai</v>
          </cell>
          <cell r="B231" t="str">
            <v>var_par</v>
          </cell>
          <cell r="C231">
            <v>4846</v>
          </cell>
          <cell r="D231">
            <v>4846</v>
          </cell>
          <cell r="E231" t="str">
            <v>dist</v>
          </cell>
          <cell r="F231">
            <v>4764</v>
          </cell>
          <cell r="G231">
            <v>4515</v>
          </cell>
          <cell r="H231" t="str">
            <v>labo</v>
          </cell>
          <cell r="I231">
            <v>3763.08</v>
          </cell>
          <cell r="J231">
            <v>3573</v>
          </cell>
          <cell r="K231" t="str">
            <v>ind_pr</v>
          </cell>
          <cell r="L231">
            <v>4211.45</v>
          </cell>
          <cell r="M231">
            <v>0</v>
          </cell>
          <cell r="N231">
            <v>0</v>
          </cell>
          <cell r="O231" t="e">
            <v>#N/A</v>
          </cell>
          <cell r="P231" t="e">
            <v>#N/A</v>
          </cell>
        </row>
        <row r="232">
          <cell r="A232" t="str">
            <v>Nova America da Colina</v>
          </cell>
          <cell r="B232" t="str">
            <v>var_pr</v>
          </cell>
          <cell r="C232">
            <v>4729.62</v>
          </cell>
          <cell r="D232">
            <v>4729.62</v>
          </cell>
          <cell r="E232" t="str">
            <v>dist</v>
          </cell>
          <cell r="F232">
            <v>4764</v>
          </cell>
          <cell r="G232">
            <v>4515</v>
          </cell>
          <cell r="H232" t="str">
            <v>labo</v>
          </cell>
          <cell r="I232">
            <v>3763.08</v>
          </cell>
          <cell r="J232">
            <v>3573</v>
          </cell>
          <cell r="K232" t="str">
            <v>ind_pr</v>
          </cell>
          <cell r="L232">
            <v>4211.45</v>
          </cell>
          <cell r="M232">
            <v>0</v>
          </cell>
          <cell r="N232">
            <v>0</v>
          </cell>
          <cell r="O232" t="e">
            <v>#N/A</v>
          </cell>
          <cell r="P232" t="e">
            <v>#N/A</v>
          </cell>
        </row>
        <row r="233">
          <cell r="A233" t="str">
            <v>Nova Aurora</v>
          </cell>
          <cell r="B233" t="str">
            <v>var_op</v>
          </cell>
          <cell r="C233">
            <v>4653</v>
          </cell>
          <cell r="D233">
            <v>4452</v>
          </cell>
          <cell r="E233" t="str">
            <v>dist</v>
          </cell>
          <cell r="F233">
            <v>4764</v>
          </cell>
          <cell r="G233">
            <v>4515</v>
          </cell>
          <cell r="H233" t="str">
            <v>labo</v>
          </cell>
          <cell r="I233">
            <v>3763.08</v>
          </cell>
          <cell r="J233">
            <v>3573</v>
          </cell>
          <cell r="K233" t="str">
            <v>ind_pr</v>
          </cell>
          <cell r="L233">
            <v>4211.45</v>
          </cell>
          <cell r="M233">
            <v>0</v>
          </cell>
          <cell r="N233">
            <v>0</v>
          </cell>
          <cell r="O233" t="e">
            <v>#N/A</v>
          </cell>
          <cell r="P233" t="e">
            <v>#N/A</v>
          </cell>
        </row>
        <row r="234">
          <cell r="A234" t="str">
            <v>Nova Cantu</v>
          </cell>
          <cell r="B234" t="str">
            <v>var_pr</v>
          </cell>
          <cell r="C234">
            <v>4729.62</v>
          </cell>
          <cell r="D234">
            <v>4729.62</v>
          </cell>
          <cell r="E234" t="str">
            <v>dist</v>
          </cell>
          <cell r="F234">
            <v>4764</v>
          </cell>
          <cell r="G234">
            <v>4515</v>
          </cell>
          <cell r="H234" t="str">
            <v>labo</v>
          </cell>
          <cell r="I234">
            <v>3763.08</v>
          </cell>
          <cell r="J234">
            <v>3573</v>
          </cell>
          <cell r="K234" t="str">
            <v>ind_pr</v>
          </cell>
          <cell r="L234">
            <v>4211.45</v>
          </cell>
          <cell r="M234">
            <v>0</v>
          </cell>
          <cell r="N234" t="str">
            <v>hosp_cm</v>
          </cell>
          <cell r="O234">
            <v>4133.2</v>
          </cell>
          <cell r="P234">
            <v>0</v>
          </cell>
        </row>
        <row r="235">
          <cell r="A235" t="str">
            <v>Nova Esperança</v>
          </cell>
          <cell r="B235" t="str">
            <v>var_par</v>
          </cell>
          <cell r="C235">
            <v>4846</v>
          </cell>
          <cell r="D235">
            <v>4846</v>
          </cell>
          <cell r="E235" t="str">
            <v>dist</v>
          </cell>
          <cell r="F235">
            <v>4764</v>
          </cell>
          <cell r="G235">
            <v>4515</v>
          </cell>
          <cell r="H235" t="str">
            <v>labo</v>
          </cell>
          <cell r="I235">
            <v>3763.08</v>
          </cell>
          <cell r="J235">
            <v>3573</v>
          </cell>
          <cell r="K235" t="str">
            <v>ind_pr</v>
          </cell>
          <cell r="L235">
            <v>4211.45</v>
          </cell>
          <cell r="M235">
            <v>0</v>
          </cell>
          <cell r="N235" t="str">
            <v>hosp_mg</v>
          </cell>
          <cell r="O235">
            <v>3888.38</v>
          </cell>
          <cell r="P235">
            <v>0</v>
          </cell>
        </row>
        <row r="236">
          <cell r="A236" t="str">
            <v>Nova Esperança do Sudoeste</v>
          </cell>
          <cell r="B236" t="str">
            <v>var_pr</v>
          </cell>
          <cell r="C236">
            <v>4729.62</v>
          </cell>
          <cell r="D236">
            <v>4729.62</v>
          </cell>
          <cell r="E236" t="str">
            <v>dist</v>
          </cell>
          <cell r="F236">
            <v>4764</v>
          </cell>
          <cell r="G236">
            <v>4515</v>
          </cell>
          <cell r="H236" t="str">
            <v>labo</v>
          </cell>
          <cell r="I236">
            <v>3763.08</v>
          </cell>
          <cell r="J236">
            <v>3573</v>
          </cell>
          <cell r="K236" t="str">
            <v>ind_pr</v>
          </cell>
          <cell r="L236">
            <v>4211.45</v>
          </cell>
          <cell r="M236">
            <v>0</v>
          </cell>
          <cell r="N236" t="str">
            <v>hosp_sudpr</v>
          </cell>
          <cell r="O236">
            <v>1760</v>
          </cell>
          <cell r="P236">
            <v>0</v>
          </cell>
        </row>
        <row r="237">
          <cell r="A237" t="str">
            <v>Nova Fatima</v>
          </cell>
          <cell r="B237" t="str">
            <v>var_pr</v>
          </cell>
          <cell r="C237">
            <v>4729.62</v>
          </cell>
          <cell r="D237">
            <v>4729.62</v>
          </cell>
          <cell r="E237" t="str">
            <v>dist</v>
          </cell>
          <cell r="F237">
            <v>4764</v>
          </cell>
          <cell r="G237">
            <v>4515</v>
          </cell>
          <cell r="H237" t="str">
            <v>labo</v>
          </cell>
          <cell r="I237">
            <v>3763.08</v>
          </cell>
          <cell r="J237">
            <v>3573</v>
          </cell>
          <cell r="K237" t="str">
            <v>ind_pr</v>
          </cell>
          <cell r="L237">
            <v>4211.45</v>
          </cell>
          <cell r="M237">
            <v>0</v>
          </cell>
          <cell r="N237">
            <v>0</v>
          </cell>
          <cell r="O237" t="e">
            <v>#N/A</v>
          </cell>
          <cell r="P237" t="e">
            <v>#N/A</v>
          </cell>
        </row>
        <row r="238">
          <cell r="A238" t="str">
            <v>Nova Laranjeiras</v>
          </cell>
          <cell r="B238" t="str">
            <v>var_op</v>
          </cell>
          <cell r="C238">
            <v>4653</v>
          </cell>
          <cell r="D238">
            <v>4452</v>
          </cell>
          <cell r="E238" t="str">
            <v>dist</v>
          </cell>
          <cell r="F238">
            <v>4764</v>
          </cell>
          <cell r="G238">
            <v>4515</v>
          </cell>
          <cell r="H238" t="str">
            <v>labo</v>
          </cell>
          <cell r="I238">
            <v>3763.08</v>
          </cell>
          <cell r="J238">
            <v>3573</v>
          </cell>
          <cell r="K238" t="str">
            <v>ind_pr</v>
          </cell>
          <cell r="L238">
            <v>4211.45</v>
          </cell>
          <cell r="M238">
            <v>0</v>
          </cell>
          <cell r="N238" t="str">
            <v>hosp_co</v>
          </cell>
          <cell r="O238">
            <v>3036.29</v>
          </cell>
          <cell r="P238">
            <v>0</v>
          </cell>
        </row>
        <row r="239">
          <cell r="A239" t="str">
            <v>Nova Londrina</v>
          </cell>
          <cell r="B239" t="str">
            <v>var_par</v>
          </cell>
          <cell r="C239">
            <v>4846</v>
          </cell>
          <cell r="D239">
            <v>4846</v>
          </cell>
          <cell r="E239" t="str">
            <v>dist</v>
          </cell>
          <cell r="F239">
            <v>4764</v>
          </cell>
          <cell r="G239">
            <v>4515</v>
          </cell>
          <cell r="H239" t="str">
            <v>labo</v>
          </cell>
          <cell r="I239">
            <v>3763.08</v>
          </cell>
          <cell r="J239">
            <v>3573</v>
          </cell>
          <cell r="K239" t="str">
            <v>ind_pr</v>
          </cell>
          <cell r="L239">
            <v>4211.45</v>
          </cell>
          <cell r="M239">
            <v>0</v>
          </cell>
          <cell r="N239">
            <v>0</v>
          </cell>
          <cell r="O239" t="e">
            <v>#N/A</v>
          </cell>
          <cell r="P239" t="e">
            <v>#N/A</v>
          </cell>
        </row>
        <row r="240">
          <cell r="A240" t="str">
            <v>Nova Olimpia</v>
          </cell>
          <cell r="B240" t="str">
            <v>var_pr</v>
          </cell>
          <cell r="C240">
            <v>4729.62</v>
          </cell>
          <cell r="D240">
            <v>4729.62</v>
          </cell>
          <cell r="E240" t="str">
            <v>dist</v>
          </cell>
          <cell r="F240">
            <v>4764</v>
          </cell>
          <cell r="G240">
            <v>4515</v>
          </cell>
          <cell r="H240" t="str">
            <v>labo</v>
          </cell>
          <cell r="I240">
            <v>3763.08</v>
          </cell>
          <cell r="J240">
            <v>3573</v>
          </cell>
          <cell r="K240" t="str">
            <v>ind_pr</v>
          </cell>
          <cell r="L240">
            <v>4211.45</v>
          </cell>
          <cell r="M240">
            <v>0</v>
          </cell>
          <cell r="N240" t="str">
            <v>hosp_umu</v>
          </cell>
          <cell r="O240">
            <v>2428.5500000000002</v>
          </cell>
          <cell r="P240">
            <v>0</v>
          </cell>
        </row>
        <row r="241">
          <cell r="A241" t="str">
            <v>Nova Prata do Iguaçu</v>
          </cell>
          <cell r="B241" t="str">
            <v>var_pr</v>
          </cell>
          <cell r="C241">
            <v>4729.62</v>
          </cell>
          <cell r="D241">
            <v>4729.62</v>
          </cell>
          <cell r="E241" t="str">
            <v>dist</v>
          </cell>
          <cell r="F241">
            <v>4764</v>
          </cell>
          <cell r="G241">
            <v>4515</v>
          </cell>
          <cell r="H241" t="str">
            <v>labo</v>
          </cell>
          <cell r="I241">
            <v>3763.08</v>
          </cell>
          <cell r="J241">
            <v>3573</v>
          </cell>
          <cell r="K241" t="str">
            <v>ind_pr</v>
          </cell>
          <cell r="L241">
            <v>4211.45</v>
          </cell>
          <cell r="M241">
            <v>0</v>
          </cell>
          <cell r="N241" t="str">
            <v>hosp_sudpr</v>
          </cell>
          <cell r="O241">
            <v>1760</v>
          </cell>
          <cell r="P241">
            <v>0</v>
          </cell>
        </row>
        <row r="242">
          <cell r="A242" t="str">
            <v>Nova Santa Barbara</v>
          </cell>
          <cell r="B242" t="str">
            <v>var_pr</v>
          </cell>
          <cell r="C242">
            <v>4729.62</v>
          </cell>
          <cell r="D242">
            <v>4729.62</v>
          </cell>
          <cell r="E242" t="str">
            <v>dist</v>
          </cell>
          <cell r="F242">
            <v>4764</v>
          </cell>
          <cell r="G242">
            <v>4515</v>
          </cell>
          <cell r="H242" t="str">
            <v>labo</v>
          </cell>
          <cell r="I242">
            <v>3763.08</v>
          </cell>
          <cell r="J242">
            <v>3573</v>
          </cell>
          <cell r="K242" t="str">
            <v>ind_pr</v>
          </cell>
          <cell r="L242">
            <v>4211.45</v>
          </cell>
          <cell r="M242">
            <v>0</v>
          </cell>
          <cell r="N242">
            <v>0</v>
          </cell>
          <cell r="O242" t="e">
            <v>#N/A</v>
          </cell>
          <cell r="P242" t="e">
            <v>#N/A</v>
          </cell>
        </row>
        <row r="243">
          <cell r="A243" t="str">
            <v>Nova Santa Rosa</v>
          </cell>
          <cell r="B243" t="str">
            <v>var_op</v>
          </cell>
          <cell r="C243">
            <v>4653</v>
          </cell>
          <cell r="D243">
            <v>4452</v>
          </cell>
          <cell r="E243" t="str">
            <v>dist</v>
          </cell>
          <cell r="F243">
            <v>4764</v>
          </cell>
          <cell r="G243">
            <v>4515</v>
          </cell>
          <cell r="H243" t="str">
            <v>labo</v>
          </cell>
          <cell r="I243">
            <v>3763.08</v>
          </cell>
          <cell r="J243">
            <v>3573</v>
          </cell>
          <cell r="K243" t="str">
            <v>ind_pr</v>
          </cell>
          <cell r="L243">
            <v>4211.45</v>
          </cell>
          <cell r="M243">
            <v>0</v>
          </cell>
          <cell r="N243" t="str">
            <v>hosp_pr</v>
          </cell>
          <cell r="O243">
            <v>4567</v>
          </cell>
          <cell r="P243">
            <v>0</v>
          </cell>
        </row>
        <row r="244">
          <cell r="A244" t="str">
            <v>Nova Tebas</v>
          </cell>
          <cell r="B244" t="str">
            <v>var_pr</v>
          </cell>
          <cell r="C244">
            <v>4729.62</v>
          </cell>
          <cell r="D244">
            <v>4729.62</v>
          </cell>
          <cell r="E244" t="str">
            <v>dist</v>
          </cell>
          <cell r="F244">
            <v>4764</v>
          </cell>
          <cell r="G244">
            <v>4515</v>
          </cell>
          <cell r="H244" t="str">
            <v>labo</v>
          </cell>
          <cell r="I244">
            <v>3763.08</v>
          </cell>
          <cell r="J244">
            <v>3573</v>
          </cell>
          <cell r="K244" t="str">
            <v>ind_pr</v>
          </cell>
          <cell r="L244">
            <v>4211.45</v>
          </cell>
          <cell r="M244">
            <v>0</v>
          </cell>
          <cell r="N244">
            <v>0</v>
          </cell>
          <cell r="O244" t="e">
            <v>#N/A</v>
          </cell>
          <cell r="P244" t="e">
            <v>#N/A</v>
          </cell>
        </row>
        <row r="245">
          <cell r="A245" t="str">
            <v>Novo Itacolomi</v>
          </cell>
          <cell r="B245" t="str">
            <v>var_pr</v>
          </cell>
          <cell r="C245">
            <v>4729.62</v>
          </cell>
          <cell r="D245">
            <v>4729.62</v>
          </cell>
          <cell r="E245" t="str">
            <v>dist</v>
          </cell>
          <cell r="F245">
            <v>4764</v>
          </cell>
          <cell r="G245">
            <v>4515</v>
          </cell>
          <cell r="H245" t="str">
            <v>labo</v>
          </cell>
          <cell r="I245">
            <v>3763.08</v>
          </cell>
          <cell r="J245">
            <v>3573</v>
          </cell>
          <cell r="K245" t="str">
            <v>ind_pr</v>
          </cell>
          <cell r="L245">
            <v>4211.45</v>
          </cell>
          <cell r="M245">
            <v>0</v>
          </cell>
          <cell r="N245">
            <v>0</v>
          </cell>
          <cell r="O245" t="e">
            <v>#N/A</v>
          </cell>
          <cell r="P245" t="e">
            <v>#N/A</v>
          </cell>
        </row>
        <row r="246">
          <cell r="A246" t="str">
            <v>Ortigueira</v>
          </cell>
          <cell r="B246" t="str">
            <v>var_pr</v>
          </cell>
          <cell r="C246">
            <v>4729.62</v>
          </cell>
          <cell r="D246">
            <v>4729.62</v>
          </cell>
          <cell r="E246" t="str">
            <v>dist</v>
          </cell>
          <cell r="F246">
            <v>4764</v>
          </cell>
          <cell r="G246">
            <v>4515</v>
          </cell>
          <cell r="H246" t="str">
            <v>labo</v>
          </cell>
          <cell r="I246">
            <v>3763.08</v>
          </cell>
          <cell r="J246">
            <v>3573</v>
          </cell>
          <cell r="K246" t="str">
            <v>ind_pr</v>
          </cell>
          <cell r="L246">
            <v>4211.45</v>
          </cell>
          <cell r="M246">
            <v>0</v>
          </cell>
          <cell r="N246" t="str">
            <v>hosp_pr</v>
          </cell>
          <cell r="O246">
            <v>4567</v>
          </cell>
          <cell r="P246">
            <v>0</v>
          </cell>
        </row>
        <row r="247">
          <cell r="A247" t="str">
            <v>Ourizona</v>
          </cell>
          <cell r="B247" t="str">
            <v>var_pr</v>
          </cell>
          <cell r="C247">
            <v>4729.62</v>
          </cell>
          <cell r="D247">
            <v>4729.62</v>
          </cell>
          <cell r="E247" t="str">
            <v>dist</v>
          </cell>
          <cell r="F247">
            <v>4764</v>
          </cell>
          <cell r="G247">
            <v>4515</v>
          </cell>
          <cell r="H247" t="str">
            <v>labo</v>
          </cell>
          <cell r="I247">
            <v>3763.08</v>
          </cell>
          <cell r="J247">
            <v>3573</v>
          </cell>
          <cell r="K247" t="str">
            <v>ind_pr</v>
          </cell>
          <cell r="L247">
            <v>4211.45</v>
          </cell>
          <cell r="M247">
            <v>0</v>
          </cell>
          <cell r="N247" t="str">
            <v>hosp_mg</v>
          </cell>
          <cell r="O247">
            <v>3888.38</v>
          </cell>
          <cell r="P247">
            <v>0</v>
          </cell>
        </row>
        <row r="248">
          <cell r="A248" t="str">
            <v>Ouro Verde do Oeste</v>
          </cell>
          <cell r="B248" t="str">
            <v>var_op</v>
          </cell>
          <cell r="C248">
            <v>4653</v>
          </cell>
          <cell r="D248">
            <v>4452</v>
          </cell>
          <cell r="E248" t="str">
            <v>dist</v>
          </cell>
          <cell r="F248">
            <v>4764</v>
          </cell>
          <cell r="G248">
            <v>4515</v>
          </cell>
          <cell r="H248" t="str">
            <v>labo</v>
          </cell>
          <cell r="I248">
            <v>3763.08</v>
          </cell>
          <cell r="J248">
            <v>3573</v>
          </cell>
          <cell r="K248" t="str">
            <v>ind_pr</v>
          </cell>
          <cell r="L248">
            <v>4211.45</v>
          </cell>
          <cell r="M248">
            <v>0</v>
          </cell>
          <cell r="N248" t="str">
            <v>hosp_pr</v>
          </cell>
          <cell r="O248">
            <v>4567</v>
          </cell>
          <cell r="P248">
            <v>0</v>
          </cell>
        </row>
        <row r="249">
          <cell r="A249" t="str">
            <v>Paiçandu</v>
          </cell>
          <cell r="B249" t="str">
            <v>var_pr</v>
          </cell>
          <cell r="C249">
            <v>4729.62</v>
          </cell>
          <cell r="D249">
            <v>4729.62</v>
          </cell>
          <cell r="E249" t="str">
            <v>dist</v>
          </cell>
          <cell r="F249">
            <v>4764</v>
          </cell>
          <cell r="G249">
            <v>4515</v>
          </cell>
          <cell r="H249" t="str">
            <v>labo</v>
          </cell>
          <cell r="I249">
            <v>3763.08</v>
          </cell>
          <cell r="J249">
            <v>3573</v>
          </cell>
          <cell r="K249" t="str">
            <v>ind_pr</v>
          </cell>
          <cell r="L249">
            <v>4211.45</v>
          </cell>
          <cell r="M249">
            <v>0</v>
          </cell>
          <cell r="N249" t="str">
            <v>hosp_mg</v>
          </cell>
          <cell r="O249">
            <v>3888.38</v>
          </cell>
          <cell r="P249">
            <v>0</v>
          </cell>
        </row>
        <row r="250">
          <cell r="A250" t="str">
            <v>Palmas</v>
          </cell>
          <cell r="B250" t="str">
            <v>var_pr</v>
          </cell>
          <cell r="C250">
            <v>4729.62</v>
          </cell>
          <cell r="D250">
            <v>4729.62</v>
          </cell>
          <cell r="E250" t="str">
            <v>dist</v>
          </cell>
          <cell r="F250">
            <v>4764</v>
          </cell>
          <cell r="G250">
            <v>4515</v>
          </cell>
          <cell r="H250" t="str">
            <v>labo</v>
          </cell>
          <cell r="I250">
            <v>3763.08</v>
          </cell>
          <cell r="J250">
            <v>3573</v>
          </cell>
          <cell r="K250" t="str">
            <v>ind_pr</v>
          </cell>
          <cell r="L250">
            <v>4211.45</v>
          </cell>
          <cell r="M250">
            <v>0</v>
          </cell>
          <cell r="N250" t="str">
            <v>hosp_pb</v>
          </cell>
          <cell r="O250">
            <v>1760</v>
          </cell>
          <cell r="P250">
            <v>0</v>
          </cell>
        </row>
        <row r="251">
          <cell r="A251" t="str">
            <v>Palmeira</v>
          </cell>
          <cell r="B251" t="str">
            <v>var_pr</v>
          </cell>
          <cell r="C251">
            <v>4729.62</v>
          </cell>
          <cell r="D251">
            <v>4729.62</v>
          </cell>
          <cell r="E251" t="str">
            <v>dist</v>
          </cell>
          <cell r="F251">
            <v>4764</v>
          </cell>
          <cell r="G251">
            <v>4515</v>
          </cell>
          <cell r="H251" t="str">
            <v>labo</v>
          </cell>
          <cell r="I251">
            <v>3763.08</v>
          </cell>
          <cell r="J251">
            <v>3573</v>
          </cell>
          <cell r="K251" t="str">
            <v>ind_pr</v>
          </cell>
          <cell r="L251">
            <v>4211.45</v>
          </cell>
          <cell r="M251">
            <v>0</v>
          </cell>
          <cell r="N251">
            <v>0</v>
          </cell>
          <cell r="O251" t="e">
            <v>#N/A</v>
          </cell>
          <cell r="P251" t="e">
            <v>#N/A</v>
          </cell>
        </row>
        <row r="252">
          <cell r="A252" t="str">
            <v>Palmital</v>
          </cell>
          <cell r="B252" t="str">
            <v>var_pr</v>
          </cell>
          <cell r="C252">
            <v>4729.62</v>
          </cell>
          <cell r="D252">
            <v>4729.62</v>
          </cell>
          <cell r="E252" t="str">
            <v>dist</v>
          </cell>
          <cell r="F252">
            <v>4764</v>
          </cell>
          <cell r="G252">
            <v>4515</v>
          </cell>
          <cell r="H252" t="str">
            <v>labo</v>
          </cell>
          <cell r="I252">
            <v>3763.08</v>
          </cell>
          <cell r="J252">
            <v>3573</v>
          </cell>
          <cell r="K252" t="str">
            <v>ind_pr</v>
          </cell>
          <cell r="L252">
            <v>4211.45</v>
          </cell>
          <cell r="M252">
            <v>0</v>
          </cell>
          <cell r="N252" t="str">
            <v>hosp_co</v>
          </cell>
          <cell r="O252">
            <v>3036.29</v>
          </cell>
          <cell r="P252">
            <v>0</v>
          </cell>
        </row>
        <row r="253">
          <cell r="A253" t="str">
            <v>Palotina</v>
          </cell>
          <cell r="B253" t="str">
            <v>var_op</v>
          </cell>
          <cell r="C253">
            <v>4653</v>
          </cell>
          <cell r="D253">
            <v>4452</v>
          </cell>
          <cell r="E253" t="str">
            <v>dist</v>
          </cell>
          <cell r="F253">
            <v>4764</v>
          </cell>
          <cell r="G253">
            <v>4515</v>
          </cell>
          <cell r="H253" t="str">
            <v>labo</v>
          </cell>
          <cell r="I253">
            <v>3763.08</v>
          </cell>
          <cell r="J253">
            <v>3573</v>
          </cell>
          <cell r="K253" t="str">
            <v>ind_pr</v>
          </cell>
          <cell r="L253">
            <v>4211.45</v>
          </cell>
          <cell r="M253">
            <v>0</v>
          </cell>
          <cell r="N253" t="str">
            <v>hosp_pr</v>
          </cell>
          <cell r="O253">
            <v>4567</v>
          </cell>
          <cell r="P253">
            <v>0</v>
          </cell>
        </row>
        <row r="254">
          <cell r="A254" t="str">
            <v>Paraiso do Norte</v>
          </cell>
          <cell r="B254" t="str">
            <v>var_par</v>
          </cell>
          <cell r="C254">
            <v>4846</v>
          </cell>
          <cell r="D254">
            <v>4846</v>
          </cell>
          <cell r="E254" t="str">
            <v>dist</v>
          </cell>
          <cell r="F254">
            <v>4764</v>
          </cell>
          <cell r="G254">
            <v>4515</v>
          </cell>
          <cell r="H254" t="str">
            <v>labo</v>
          </cell>
          <cell r="I254">
            <v>3763.08</v>
          </cell>
          <cell r="J254">
            <v>3573</v>
          </cell>
          <cell r="K254" t="str">
            <v>ind_pr</v>
          </cell>
          <cell r="L254">
            <v>4211.45</v>
          </cell>
          <cell r="M254">
            <v>0</v>
          </cell>
          <cell r="N254">
            <v>0</v>
          </cell>
          <cell r="O254" t="e">
            <v>#N/A</v>
          </cell>
          <cell r="P254" t="e">
            <v>#N/A</v>
          </cell>
        </row>
        <row r="255">
          <cell r="A255" t="str">
            <v>Paranacity</v>
          </cell>
          <cell r="B255" t="str">
            <v>var_par</v>
          </cell>
          <cell r="C255">
            <v>4846</v>
          </cell>
          <cell r="D255">
            <v>4846</v>
          </cell>
          <cell r="E255" t="str">
            <v>dist</v>
          </cell>
          <cell r="F255">
            <v>4764</v>
          </cell>
          <cell r="G255">
            <v>4515</v>
          </cell>
          <cell r="H255" t="str">
            <v>labo</v>
          </cell>
          <cell r="I255">
            <v>3763.08</v>
          </cell>
          <cell r="J255">
            <v>3573</v>
          </cell>
          <cell r="K255" t="str">
            <v>ind_pr</v>
          </cell>
          <cell r="L255">
            <v>4211.45</v>
          </cell>
          <cell r="M255">
            <v>0</v>
          </cell>
          <cell r="N255">
            <v>0</v>
          </cell>
          <cell r="O255" t="e">
            <v>#N/A</v>
          </cell>
          <cell r="P255" t="e">
            <v>#N/A</v>
          </cell>
        </row>
        <row r="256">
          <cell r="A256" t="str">
            <v>Paranagua</v>
          </cell>
          <cell r="B256" t="str">
            <v>var_pr</v>
          </cell>
          <cell r="C256">
            <v>4729.62</v>
          </cell>
          <cell r="D256">
            <v>4729.62</v>
          </cell>
          <cell r="E256" t="str">
            <v>dist</v>
          </cell>
          <cell r="F256">
            <v>4764</v>
          </cell>
          <cell r="G256">
            <v>4515</v>
          </cell>
          <cell r="H256" t="str">
            <v>labo</v>
          </cell>
          <cell r="I256">
            <v>3763.08</v>
          </cell>
          <cell r="J256">
            <v>3573</v>
          </cell>
          <cell r="K256" t="str">
            <v>ind_pr</v>
          </cell>
          <cell r="L256">
            <v>4211.45</v>
          </cell>
          <cell r="M256">
            <v>0</v>
          </cell>
          <cell r="N256" t="str">
            <v>hosp_pr</v>
          </cell>
          <cell r="O256">
            <v>4567</v>
          </cell>
          <cell r="P256">
            <v>0</v>
          </cell>
        </row>
        <row r="257">
          <cell r="A257" t="str">
            <v>Paranapoema</v>
          </cell>
          <cell r="B257" t="str">
            <v>var_par</v>
          </cell>
          <cell r="C257">
            <v>4846</v>
          </cell>
          <cell r="D257">
            <v>4846</v>
          </cell>
          <cell r="E257" t="str">
            <v>dist</v>
          </cell>
          <cell r="F257">
            <v>4764</v>
          </cell>
          <cell r="G257">
            <v>4515</v>
          </cell>
          <cell r="H257" t="str">
            <v>labo</v>
          </cell>
          <cell r="I257">
            <v>3763.08</v>
          </cell>
          <cell r="J257">
            <v>3573</v>
          </cell>
          <cell r="K257" t="str">
            <v>ind_pr</v>
          </cell>
          <cell r="L257">
            <v>4211.45</v>
          </cell>
          <cell r="M257">
            <v>0</v>
          </cell>
          <cell r="N257">
            <v>0</v>
          </cell>
          <cell r="O257" t="e">
            <v>#N/A</v>
          </cell>
          <cell r="P257" t="e">
            <v>#N/A</v>
          </cell>
        </row>
        <row r="258">
          <cell r="A258" t="str">
            <v>Paranavai</v>
          </cell>
          <cell r="B258" t="str">
            <v>var_par</v>
          </cell>
          <cell r="C258">
            <v>4846</v>
          </cell>
          <cell r="D258">
            <v>4846</v>
          </cell>
          <cell r="E258" t="str">
            <v>dist</v>
          </cell>
          <cell r="F258">
            <v>4764</v>
          </cell>
          <cell r="G258">
            <v>4515</v>
          </cell>
          <cell r="H258" t="str">
            <v>labo</v>
          </cell>
          <cell r="I258">
            <v>3763.08</v>
          </cell>
          <cell r="J258">
            <v>3573</v>
          </cell>
          <cell r="K258" t="str">
            <v>ind_pr</v>
          </cell>
          <cell r="L258">
            <v>4211.45</v>
          </cell>
          <cell r="M258">
            <v>0</v>
          </cell>
          <cell r="N258">
            <v>0</v>
          </cell>
          <cell r="O258" t="e">
            <v>#N/A</v>
          </cell>
          <cell r="P258" t="e">
            <v>#N/A</v>
          </cell>
        </row>
        <row r="259">
          <cell r="A259" t="str">
            <v>Pato Bragado</v>
          </cell>
          <cell r="B259" t="str">
            <v>var_op</v>
          </cell>
          <cell r="C259">
            <v>4653</v>
          </cell>
          <cell r="D259">
            <v>4452</v>
          </cell>
          <cell r="E259" t="str">
            <v>dist</v>
          </cell>
          <cell r="F259">
            <v>4764</v>
          </cell>
          <cell r="G259">
            <v>4515</v>
          </cell>
          <cell r="H259" t="str">
            <v>labo</v>
          </cell>
          <cell r="I259">
            <v>3763.08</v>
          </cell>
          <cell r="J259">
            <v>3573</v>
          </cell>
          <cell r="K259" t="str">
            <v>ind_pr</v>
          </cell>
          <cell r="L259">
            <v>4211.45</v>
          </cell>
          <cell r="M259">
            <v>0</v>
          </cell>
          <cell r="N259">
            <v>0</v>
          </cell>
          <cell r="O259" t="e">
            <v>#N/A</v>
          </cell>
          <cell r="P259" t="e">
            <v>#N/A</v>
          </cell>
        </row>
        <row r="260">
          <cell r="A260" t="str">
            <v>Pato Branco</v>
          </cell>
          <cell r="B260" t="str">
            <v>var_pr</v>
          </cell>
          <cell r="C260">
            <v>4729.62</v>
          </cell>
          <cell r="D260">
            <v>4729.62</v>
          </cell>
          <cell r="E260" t="str">
            <v>dist</v>
          </cell>
          <cell r="F260">
            <v>4764</v>
          </cell>
          <cell r="G260">
            <v>4515</v>
          </cell>
          <cell r="H260" t="str">
            <v>labo</v>
          </cell>
          <cell r="I260">
            <v>3763.08</v>
          </cell>
          <cell r="J260">
            <v>3573</v>
          </cell>
          <cell r="K260" t="str">
            <v>ind_pr</v>
          </cell>
          <cell r="L260">
            <v>4211.45</v>
          </cell>
          <cell r="M260">
            <v>0</v>
          </cell>
          <cell r="N260" t="str">
            <v>hosp_pb</v>
          </cell>
          <cell r="O260">
            <v>1760</v>
          </cell>
          <cell r="P260">
            <v>0</v>
          </cell>
        </row>
        <row r="261">
          <cell r="A261" t="str">
            <v>Paula Freitas</v>
          </cell>
          <cell r="B261" t="str">
            <v>var_pr</v>
          </cell>
          <cell r="C261">
            <v>4729.62</v>
          </cell>
          <cell r="D261">
            <v>4729.62</v>
          </cell>
          <cell r="E261" t="str">
            <v>dist</v>
          </cell>
          <cell r="F261">
            <v>4764</v>
          </cell>
          <cell r="G261">
            <v>4515</v>
          </cell>
          <cell r="H261" t="str">
            <v>labo</v>
          </cell>
          <cell r="I261">
            <v>3763.08</v>
          </cell>
          <cell r="J261">
            <v>3573</v>
          </cell>
          <cell r="K261" t="str">
            <v>ind_pr</v>
          </cell>
          <cell r="L261">
            <v>4211.45</v>
          </cell>
          <cell r="M261">
            <v>0</v>
          </cell>
          <cell r="N261">
            <v>0</v>
          </cell>
          <cell r="O261" t="e">
            <v>#N/A</v>
          </cell>
          <cell r="P261" t="e">
            <v>#N/A</v>
          </cell>
        </row>
        <row r="262">
          <cell r="A262" t="str">
            <v>Paulo Frontin</v>
          </cell>
          <cell r="B262" t="str">
            <v>var_pr</v>
          </cell>
          <cell r="C262">
            <v>4729.62</v>
          </cell>
          <cell r="D262">
            <v>4729.62</v>
          </cell>
          <cell r="E262" t="str">
            <v>dist</v>
          </cell>
          <cell r="F262">
            <v>4764</v>
          </cell>
          <cell r="G262">
            <v>4515</v>
          </cell>
          <cell r="H262" t="str">
            <v>labo</v>
          </cell>
          <cell r="I262">
            <v>3763.08</v>
          </cell>
          <cell r="J262">
            <v>3573</v>
          </cell>
          <cell r="K262" t="str">
            <v>ind_pr</v>
          </cell>
          <cell r="L262">
            <v>4211.45</v>
          </cell>
          <cell r="M262">
            <v>0</v>
          </cell>
          <cell r="N262">
            <v>0</v>
          </cell>
          <cell r="O262" t="e">
            <v>#N/A</v>
          </cell>
          <cell r="P262" t="e">
            <v>#N/A</v>
          </cell>
        </row>
        <row r="263">
          <cell r="A263" t="str">
            <v>Peabiru</v>
          </cell>
          <cell r="B263" t="str">
            <v>var_pr</v>
          </cell>
          <cell r="C263">
            <v>4729.62</v>
          </cell>
          <cell r="D263">
            <v>4729.62</v>
          </cell>
          <cell r="E263" t="str">
            <v>dist</v>
          </cell>
          <cell r="F263">
            <v>4764</v>
          </cell>
          <cell r="G263">
            <v>4515</v>
          </cell>
          <cell r="H263" t="str">
            <v>labo</v>
          </cell>
          <cell r="I263">
            <v>3763.08</v>
          </cell>
          <cell r="J263">
            <v>3573</v>
          </cell>
          <cell r="K263" t="str">
            <v>ind_pr</v>
          </cell>
          <cell r="L263">
            <v>4211.45</v>
          </cell>
          <cell r="M263">
            <v>0</v>
          </cell>
          <cell r="N263" t="str">
            <v>hosp_cm</v>
          </cell>
          <cell r="O263">
            <v>4133.2</v>
          </cell>
          <cell r="P263">
            <v>0</v>
          </cell>
        </row>
        <row r="264">
          <cell r="A264" t="str">
            <v>Perobal</v>
          </cell>
          <cell r="B264" t="str">
            <v>var_pr</v>
          </cell>
          <cell r="C264">
            <v>4729.62</v>
          </cell>
          <cell r="D264">
            <v>4729.62</v>
          </cell>
          <cell r="E264" t="str">
            <v>dist</v>
          </cell>
          <cell r="F264">
            <v>4764</v>
          </cell>
          <cell r="G264">
            <v>4515</v>
          </cell>
          <cell r="H264" t="str">
            <v>labo</v>
          </cell>
          <cell r="I264">
            <v>3763.08</v>
          </cell>
          <cell r="J264">
            <v>3573</v>
          </cell>
          <cell r="K264" t="str">
            <v>ind_pr</v>
          </cell>
          <cell r="L264">
            <v>4211.45</v>
          </cell>
          <cell r="M264">
            <v>0</v>
          </cell>
          <cell r="N264">
            <v>0</v>
          </cell>
          <cell r="O264" t="e">
            <v>#N/A</v>
          </cell>
          <cell r="P264" t="e">
            <v>#N/A</v>
          </cell>
        </row>
        <row r="265">
          <cell r="A265" t="str">
            <v>Perola</v>
          </cell>
          <cell r="B265" t="str">
            <v>var_pr</v>
          </cell>
          <cell r="C265">
            <v>4729.62</v>
          </cell>
          <cell r="D265">
            <v>4729.62</v>
          </cell>
          <cell r="E265" t="str">
            <v>dist</v>
          </cell>
          <cell r="F265">
            <v>4764</v>
          </cell>
          <cell r="G265">
            <v>4515</v>
          </cell>
          <cell r="H265" t="str">
            <v>labo</v>
          </cell>
          <cell r="I265">
            <v>3763.08</v>
          </cell>
          <cell r="J265">
            <v>3573</v>
          </cell>
          <cell r="K265" t="str">
            <v>ind_pr</v>
          </cell>
          <cell r="L265">
            <v>4211.45</v>
          </cell>
          <cell r="M265">
            <v>0</v>
          </cell>
          <cell r="N265" t="str">
            <v>hosp_umu</v>
          </cell>
          <cell r="O265">
            <v>2428.5500000000002</v>
          </cell>
          <cell r="P265">
            <v>0</v>
          </cell>
        </row>
        <row r="266">
          <cell r="A266" t="str">
            <v>Perola do Oeste</v>
          </cell>
          <cell r="B266" t="str">
            <v>var_pr</v>
          </cell>
          <cell r="C266">
            <v>4729.62</v>
          </cell>
          <cell r="D266">
            <v>4729.62</v>
          </cell>
          <cell r="E266" t="str">
            <v>dist</v>
          </cell>
          <cell r="F266">
            <v>4764</v>
          </cell>
          <cell r="G266">
            <v>4515</v>
          </cell>
          <cell r="H266" t="str">
            <v>labo</v>
          </cell>
          <cell r="I266">
            <v>3763.08</v>
          </cell>
          <cell r="J266">
            <v>3573</v>
          </cell>
          <cell r="K266" t="str">
            <v>ind_pr</v>
          </cell>
          <cell r="L266">
            <v>4211.45</v>
          </cell>
          <cell r="M266">
            <v>0</v>
          </cell>
          <cell r="N266" t="str">
            <v>hosp_sudpr</v>
          </cell>
          <cell r="O266">
            <v>1760</v>
          </cell>
          <cell r="P266">
            <v>0</v>
          </cell>
        </row>
        <row r="267">
          <cell r="A267" t="str">
            <v>Pien</v>
          </cell>
          <cell r="B267" t="str">
            <v>var_pr</v>
          </cell>
          <cell r="C267">
            <v>4729.62</v>
          </cell>
          <cell r="D267">
            <v>4729.62</v>
          </cell>
          <cell r="E267" t="str">
            <v>dist</v>
          </cell>
          <cell r="F267">
            <v>4764</v>
          </cell>
          <cell r="G267">
            <v>4515</v>
          </cell>
          <cell r="H267" t="str">
            <v>labo</v>
          </cell>
          <cell r="I267">
            <v>3763.08</v>
          </cell>
          <cell r="J267">
            <v>3573</v>
          </cell>
          <cell r="K267" t="str">
            <v>ind_pr</v>
          </cell>
          <cell r="L267">
            <v>4211.45</v>
          </cell>
          <cell r="M267">
            <v>0</v>
          </cell>
          <cell r="N267" t="str">
            <v>hosp_pr</v>
          </cell>
          <cell r="O267">
            <v>4567</v>
          </cell>
          <cell r="P267">
            <v>0</v>
          </cell>
        </row>
        <row r="268">
          <cell r="A268" t="str">
            <v>Pinhais</v>
          </cell>
          <cell r="B268" t="str">
            <v>var_pr</v>
          </cell>
          <cell r="C268">
            <v>4729.62</v>
          </cell>
          <cell r="D268">
            <v>4729.62</v>
          </cell>
          <cell r="E268" t="str">
            <v>dist</v>
          </cell>
          <cell r="F268">
            <v>4764</v>
          </cell>
          <cell r="G268">
            <v>4515</v>
          </cell>
          <cell r="H268" t="str">
            <v>labo</v>
          </cell>
          <cell r="I268">
            <v>3763.08</v>
          </cell>
          <cell r="J268">
            <v>3573</v>
          </cell>
          <cell r="K268" t="str">
            <v>ind_pr</v>
          </cell>
          <cell r="L268">
            <v>4211.45</v>
          </cell>
          <cell r="M268">
            <v>0</v>
          </cell>
          <cell r="N268">
            <v>0</v>
          </cell>
          <cell r="O268" t="e">
            <v>#N/A</v>
          </cell>
          <cell r="P268" t="e">
            <v>#N/A</v>
          </cell>
        </row>
        <row r="269">
          <cell r="A269" t="str">
            <v>Pinhal de Sao Bento</v>
          </cell>
          <cell r="B269" t="str">
            <v>var_pr</v>
          </cell>
          <cell r="C269">
            <v>4729.62</v>
          </cell>
          <cell r="D269">
            <v>4729.62</v>
          </cell>
          <cell r="E269" t="str">
            <v>dist</v>
          </cell>
          <cell r="F269">
            <v>4764</v>
          </cell>
          <cell r="G269">
            <v>4515</v>
          </cell>
          <cell r="H269" t="str">
            <v>labo</v>
          </cell>
          <cell r="I269">
            <v>3763.08</v>
          </cell>
          <cell r="J269">
            <v>3573</v>
          </cell>
          <cell r="K269" t="str">
            <v>ind_pr</v>
          </cell>
          <cell r="L269">
            <v>4211.45</v>
          </cell>
          <cell r="M269">
            <v>0</v>
          </cell>
          <cell r="N269" t="str">
            <v>hosp_sudpr</v>
          </cell>
          <cell r="O269">
            <v>1760</v>
          </cell>
          <cell r="P269">
            <v>0</v>
          </cell>
        </row>
        <row r="270">
          <cell r="A270" t="str">
            <v>Pinhalao</v>
          </cell>
          <cell r="B270" t="str">
            <v>var_sto</v>
          </cell>
          <cell r="C270">
            <v>5030</v>
          </cell>
          <cell r="D270">
            <v>5030</v>
          </cell>
          <cell r="E270" t="str">
            <v>dist</v>
          </cell>
          <cell r="F270">
            <v>4764</v>
          </cell>
          <cell r="G270">
            <v>4515</v>
          </cell>
          <cell r="H270" t="str">
            <v>labo</v>
          </cell>
          <cell r="I270">
            <v>3763.08</v>
          </cell>
          <cell r="J270">
            <v>3573</v>
          </cell>
          <cell r="K270" t="str">
            <v>ind_pr</v>
          </cell>
          <cell r="L270">
            <v>4211.45</v>
          </cell>
          <cell r="M270">
            <v>0</v>
          </cell>
          <cell r="N270" t="str">
            <v>hosp_nor</v>
          </cell>
          <cell r="O270">
            <v>1760</v>
          </cell>
          <cell r="P270">
            <v>0</v>
          </cell>
        </row>
        <row r="271">
          <cell r="A271" t="str">
            <v>Pinhao</v>
          </cell>
          <cell r="B271" t="str">
            <v>var_pr</v>
          </cell>
          <cell r="C271">
            <v>4729.62</v>
          </cell>
          <cell r="D271">
            <v>4729.62</v>
          </cell>
          <cell r="E271" t="str">
            <v>dist</v>
          </cell>
          <cell r="F271">
            <v>4764</v>
          </cell>
          <cell r="G271">
            <v>4515</v>
          </cell>
          <cell r="H271" t="str">
            <v>labo</v>
          </cell>
          <cell r="I271">
            <v>3763.08</v>
          </cell>
          <cell r="J271">
            <v>3573</v>
          </cell>
          <cell r="K271" t="str">
            <v>ind_pr</v>
          </cell>
          <cell r="L271">
            <v>4211.45</v>
          </cell>
          <cell r="M271">
            <v>0</v>
          </cell>
          <cell r="N271" t="str">
            <v>hosp_co</v>
          </cell>
          <cell r="O271">
            <v>3036.29</v>
          </cell>
          <cell r="P271">
            <v>0</v>
          </cell>
        </row>
        <row r="272">
          <cell r="A272" t="str">
            <v>Pirai do Sul</v>
          </cell>
          <cell r="B272" t="str">
            <v>var_pr</v>
          </cell>
          <cell r="C272">
            <v>4729.62</v>
          </cell>
          <cell r="D272">
            <v>4729.62</v>
          </cell>
          <cell r="E272" t="str">
            <v>dist</v>
          </cell>
          <cell r="F272">
            <v>4764</v>
          </cell>
          <cell r="G272">
            <v>4515</v>
          </cell>
          <cell r="H272" t="str">
            <v>labo</v>
          </cell>
          <cell r="I272">
            <v>3763.08</v>
          </cell>
          <cell r="J272">
            <v>3573</v>
          </cell>
          <cell r="K272" t="str">
            <v>ind_pr</v>
          </cell>
          <cell r="L272">
            <v>4211.45</v>
          </cell>
          <cell r="M272">
            <v>0</v>
          </cell>
          <cell r="N272">
            <v>0</v>
          </cell>
          <cell r="O272" t="e">
            <v>#N/A</v>
          </cell>
          <cell r="P272" t="e">
            <v>#N/A</v>
          </cell>
        </row>
        <row r="273">
          <cell r="A273" t="str">
            <v>Piraquara</v>
          </cell>
          <cell r="B273" t="str">
            <v>var_pr</v>
          </cell>
          <cell r="C273">
            <v>4729.62</v>
          </cell>
          <cell r="D273">
            <v>4729.62</v>
          </cell>
          <cell r="E273" t="str">
            <v>dist</v>
          </cell>
          <cell r="F273">
            <v>4764</v>
          </cell>
          <cell r="G273">
            <v>4515</v>
          </cell>
          <cell r="H273" t="str">
            <v>labo</v>
          </cell>
          <cell r="I273">
            <v>3763.08</v>
          </cell>
          <cell r="J273">
            <v>3573</v>
          </cell>
          <cell r="K273" t="str">
            <v>ind_pr</v>
          </cell>
          <cell r="L273">
            <v>4211.45</v>
          </cell>
          <cell r="M273">
            <v>0</v>
          </cell>
          <cell r="N273" t="str">
            <v>hosp_pr</v>
          </cell>
          <cell r="O273">
            <v>4567</v>
          </cell>
          <cell r="P273">
            <v>0</v>
          </cell>
        </row>
        <row r="274">
          <cell r="A274" t="str">
            <v>Pitanga</v>
          </cell>
          <cell r="B274" t="str">
            <v>var_pr</v>
          </cell>
          <cell r="C274">
            <v>4729.62</v>
          </cell>
          <cell r="D274">
            <v>4729.62</v>
          </cell>
          <cell r="E274" t="str">
            <v>dist</v>
          </cell>
          <cell r="F274">
            <v>4764</v>
          </cell>
          <cell r="G274">
            <v>4515</v>
          </cell>
          <cell r="H274" t="str">
            <v>labo</v>
          </cell>
          <cell r="I274">
            <v>3763.08</v>
          </cell>
          <cell r="J274">
            <v>3573</v>
          </cell>
          <cell r="K274" t="str">
            <v>ind_pr</v>
          </cell>
          <cell r="L274">
            <v>4211.45</v>
          </cell>
          <cell r="M274">
            <v>0</v>
          </cell>
          <cell r="N274">
            <v>0</v>
          </cell>
          <cell r="O274" t="e">
            <v>#N/A</v>
          </cell>
          <cell r="P274" t="e">
            <v>#N/A</v>
          </cell>
        </row>
        <row r="275">
          <cell r="A275" t="str">
            <v>Pitangueiras</v>
          </cell>
          <cell r="B275" t="str">
            <v>var_pr</v>
          </cell>
          <cell r="C275">
            <v>4729.62</v>
          </cell>
          <cell r="D275">
            <v>4729.62</v>
          </cell>
          <cell r="E275" t="str">
            <v>dist</v>
          </cell>
          <cell r="F275">
            <v>4764</v>
          </cell>
          <cell r="G275">
            <v>4515</v>
          </cell>
          <cell r="H275" t="str">
            <v>labo</v>
          </cell>
          <cell r="I275">
            <v>3763.08</v>
          </cell>
          <cell r="J275">
            <v>3573</v>
          </cell>
          <cell r="K275" t="str">
            <v>ind_pr</v>
          </cell>
          <cell r="L275">
            <v>4211.45</v>
          </cell>
          <cell r="M275">
            <v>0</v>
          </cell>
          <cell r="N275">
            <v>0</v>
          </cell>
          <cell r="O275" t="e">
            <v>#N/A</v>
          </cell>
          <cell r="P275" t="e">
            <v>#N/A</v>
          </cell>
        </row>
        <row r="276">
          <cell r="A276" t="str">
            <v>Planaltina do Parana</v>
          </cell>
          <cell r="B276" t="str">
            <v>var_par</v>
          </cell>
          <cell r="C276">
            <v>4846</v>
          </cell>
          <cell r="D276">
            <v>4846</v>
          </cell>
          <cell r="E276" t="str">
            <v>dist</v>
          </cell>
          <cell r="F276">
            <v>4764</v>
          </cell>
          <cell r="G276">
            <v>4515</v>
          </cell>
          <cell r="H276" t="str">
            <v>labo</v>
          </cell>
          <cell r="I276">
            <v>3763.08</v>
          </cell>
          <cell r="J276">
            <v>3573</v>
          </cell>
          <cell r="K276" t="str">
            <v>ind_pr</v>
          </cell>
          <cell r="L276">
            <v>4211.45</v>
          </cell>
          <cell r="M276">
            <v>0</v>
          </cell>
          <cell r="N276">
            <v>0</v>
          </cell>
          <cell r="O276" t="e">
            <v>#N/A</v>
          </cell>
          <cell r="P276" t="e">
            <v>#N/A</v>
          </cell>
        </row>
        <row r="277">
          <cell r="A277" t="str">
            <v>Planalto</v>
          </cell>
          <cell r="B277" t="str">
            <v>var_pr</v>
          </cell>
          <cell r="C277">
            <v>4729.62</v>
          </cell>
          <cell r="D277">
            <v>4729.62</v>
          </cell>
          <cell r="E277" t="str">
            <v>dist</v>
          </cell>
          <cell r="F277">
            <v>4764</v>
          </cell>
          <cell r="G277">
            <v>4515</v>
          </cell>
          <cell r="H277" t="str">
            <v>labo</v>
          </cell>
          <cell r="I277">
            <v>3763.08</v>
          </cell>
          <cell r="J277">
            <v>3573</v>
          </cell>
          <cell r="K277" t="str">
            <v>ind_pr</v>
          </cell>
          <cell r="L277">
            <v>4211.45</v>
          </cell>
          <cell r="M277">
            <v>0</v>
          </cell>
          <cell r="N277" t="str">
            <v>hosp_sudpr</v>
          </cell>
          <cell r="O277">
            <v>1760</v>
          </cell>
          <cell r="P277">
            <v>0</v>
          </cell>
        </row>
        <row r="278">
          <cell r="A278" t="str">
            <v>Ponta Grossa</v>
          </cell>
          <cell r="B278" t="str">
            <v>var_pr</v>
          </cell>
          <cell r="C278">
            <v>4729.62</v>
          </cell>
          <cell r="D278">
            <v>4729.62</v>
          </cell>
          <cell r="E278" t="str">
            <v>dist</v>
          </cell>
          <cell r="F278">
            <v>4764</v>
          </cell>
          <cell r="G278">
            <v>4515</v>
          </cell>
          <cell r="H278" t="str">
            <v>labo</v>
          </cell>
          <cell r="I278">
            <v>3763.08</v>
          </cell>
          <cell r="J278">
            <v>3573</v>
          </cell>
          <cell r="K278" t="str">
            <v>ind_pr</v>
          </cell>
          <cell r="L278">
            <v>4211.45</v>
          </cell>
          <cell r="M278">
            <v>0</v>
          </cell>
          <cell r="N278" t="str">
            <v>hosp_pg</v>
          </cell>
          <cell r="O278">
            <v>1971.2</v>
          </cell>
          <cell r="P278">
            <v>0</v>
          </cell>
        </row>
        <row r="279">
          <cell r="A279" t="str">
            <v>Pontal do Parana</v>
          </cell>
          <cell r="B279" t="str">
            <v>var_pr</v>
          </cell>
          <cell r="C279">
            <v>4729.62</v>
          </cell>
          <cell r="D279">
            <v>4729.62</v>
          </cell>
          <cell r="E279" t="str">
            <v>dist</v>
          </cell>
          <cell r="F279">
            <v>4764</v>
          </cell>
          <cell r="G279">
            <v>4515</v>
          </cell>
          <cell r="H279" t="str">
            <v>labo</v>
          </cell>
          <cell r="I279">
            <v>3763.08</v>
          </cell>
          <cell r="J279">
            <v>3573</v>
          </cell>
          <cell r="K279" t="str">
            <v>ind_pr</v>
          </cell>
          <cell r="L279">
            <v>4211.45</v>
          </cell>
          <cell r="M279">
            <v>0</v>
          </cell>
          <cell r="N279">
            <v>0</v>
          </cell>
          <cell r="O279" t="e">
            <v>#N/A</v>
          </cell>
          <cell r="P279" t="e">
            <v>#N/A</v>
          </cell>
        </row>
        <row r="280">
          <cell r="A280" t="str">
            <v>Porecatu</v>
          </cell>
          <cell r="B280" t="str">
            <v>var_ld</v>
          </cell>
          <cell r="C280">
            <v>4750</v>
          </cell>
          <cell r="D280">
            <v>4527</v>
          </cell>
          <cell r="E280" t="str">
            <v>dist</v>
          </cell>
          <cell r="F280">
            <v>4764</v>
          </cell>
          <cell r="G280">
            <v>4515</v>
          </cell>
          <cell r="H280" t="str">
            <v>labo</v>
          </cell>
          <cell r="I280">
            <v>3763.08</v>
          </cell>
          <cell r="J280">
            <v>3573</v>
          </cell>
          <cell r="K280" t="str">
            <v>ind_pr</v>
          </cell>
          <cell r="L280">
            <v>4211.45</v>
          </cell>
          <cell r="M280">
            <v>0</v>
          </cell>
          <cell r="N280">
            <v>0</v>
          </cell>
          <cell r="O280" t="e">
            <v>#N/A</v>
          </cell>
          <cell r="P280" t="e">
            <v>#N/A</v>
          </cell>
        </row>
        <row r="281">
          <cell r="A281" t="str">
            <v>Porto Amazonas</v>
          </cell>
          <cell r="B281" t="str">
            <v>var_pr</v>
          </cell>
          <cell r="C281">
            <v>4729.62</v>
          </cell>
          <cell r="D281">
            <v>4729.62</v>
          </cell>
          <cell r="E281" t="str">
            <v>dist</v>
          </cell>
          <cell r="F281">
            <v>4764</v>
          </cell>
          <cell r="G281">
            <v>4515</v>
          </cell>
          <cell r="H281" t="str">
            <v>labo</v>
          </cell>
          <cell r="I281">
            <v>3763.08</v>
          </cell>
          <cell r="J281">
            <v>3573</v>
          </cell>
          <cell r="K281" t="str">
            <v>ind_pr</v>
          </cell>
          <cell r="L281">
            <v>4211.45</v>
          </cell>
          <cell r="M281">
            <v>0</v>
          </cell>
          <cell r="N281">
            <v>0</v>
          </cell>
          <cell r="O281" t="e">
            <v>#N/A</v>
          </cell>
          <cell r="P281" t="e">
            <v>#N/A</v>
          </cell>
        </row>
        <row r="282">
          <cell r="A282" t="str">
            <v>Porto Barreiro</v>
          </cell>
          <cell r="B282" t="str">
            <v>var_pr</v>
          </cell>
          <cell r="C282">
            <v>4729.62</v>
          </cell>
          <cell r="D282">
            <v>4729.62</v>
          </cell>
          <cell r="E282" t="str">
            <v>dist</v>
          </cell>
          <cell r="F282">
            <v>4764</v>
          </cell>
          <cell r="G282">
            <v>4515</v>
          </cell>
          <cell r="H282" t="str">
            <v>labo</v>
          </cell>
          <cell r="I282">
            <v>3763.08</v>
          </cell>
          <cell r="J282">
            <v>3573</v>
          </cell>
          <cell r="K282" t="str">
            <v>ind_pr</v>
          </cell>
          <cell r="L282">
            <v>4211.45</v>
          </cell>
          <cell r="M282">
            <v>0</v>
          </cell>
          <cell r="N282" t="str">
            <v>hosp_co</v>
          </cell>
          <cell r="O282">
            <v>3036.29</v>
          </cell>
          <cell r="P282">
            <v>0</v>
          </cell>
        </row>
        <row r="283">
          <cell r="A283" t="str">
            <v>Porto Rico</v>
          </cell>
          <cell r="B283" t="str">
            <v>var_par</v>
          </cell>
          <cell r="C283">
            <v>4846</v>
          </cell>
          <cell r="D283">
            <v>4846</v>
          </cell>
          <cell r="E283" t="str">
            <v>dist</v>
          </cell>
          <cell r="F283">
            <v>4764</v>
          </cell>
          <cell r="G283">
            <v>4515</v>
          </cell>
          <cell r="H283" t="str">
            <v>labo</v>
          </cell>
          <cell r="I283">
            <v>3763.08</v>
          </cell>
          <cell r="J283">
            <v>3573</v>
          </cell>
          <cell r="K283" t="str">
            <v>ind_pr</v>
          </cell>
          <cell r="L283">
            <v>4211.45</v>
          </cell>
          <cell r="M283">
            <v>0</v>
          </cell>
          <cell r="N283">
            <v>0</v>
          </cell>
          <cell r="O283" t="e">
            <v>#N/A</v>
          </cell>
          <cell r="P283" t="e">
            <v>#N/A</v>
          </cell>
        </row>
        <row r="284">
          <cell r="A284" t="str">
            <v>Porto Vitoria</v>
          </cell>
          <cell r="B284" t="str">
            <v>var_pr</v>
          </cell>
          <cell r="C284">
            <v>4729.62</v>
          </cell>
          <cell r="D284">
            <v>4729.62</v>
          </cell>
          <cell r="E284" t="str">
            <v>dist</v>
          </cell>
          <cell r="F284">
            <v>4764</v>
          </cell>
          <cell r="G284">
            <v>4515</v>
          </cell>
          <cell r="H284" t="str">
            <v>labo</v>
          </cell>
          <cell r="I284">
            <v>3763.08</v>
          </cell>
          <cell r="J284">
            <v>3573</v>
          </cell>
          <cell r="K284" t="str">
            <v>ind_pr</v>
          </cell>
          <cell r="L284">
            <v>4211.45</v>
          </cell>
          <cell r="M284">
            <v>0</v>
          </cell>
          <cell r="N284">
            <v>0</v>
          </cell>
          <cell r="O284" t="e">
            <v>#N/A</v>
          </cell>
          <cell r="P284" t="e">
            <v>#N/A</v>
          </cell>
        </row>
        <row r="285">
          <cell r="A285" t="str">
            <v>Prado Ferreira</v>
          </cell>
          <cell r="B285" t="str">
            <v>var_pr</v>
          </cell>
          <cell r="C285">
            <v>4729.62</v>
          </cell>
          <cell r="D285">
            <v>4729.62</v>
          </cell>
          <cell r="E285" t="str">
            <v>dist</v>
          </cell>
          <cell r="F285">
            <v>4764</v>
          </cell>
          <cell r="G285">
            <v>4515</v>
          </cell>
          <cell r="H285" t="str">
            <v>labo</v>
          </cell>
          <cell r="I285">
            <v>3763.08</v>
          </cell>
          <cell r="J285">
            <v>3573</v>
          </cell>
          <cell r="K285" t="str">
            <v>ind_pr</v>
          </cell>
          <cell r="L285">
            <v>4211.45</v>
          </cell>
          <cell r="M285">
            <v>0</v>
          </cell>
          <cell r="N285">
            <v>0</v>
          </cell>
          <cell r="O285" t="e">
            <v>#N/A</v>
          </cell>
          <cell r="P285" t="e">
            <v>#N/A</v>
          </cell>
        </row>
        <row r="286">
          <cell r="A286" t="str">
            <v>Pranchita</v>
          </cell>
          <cell r="B286" t="str">
            <v>var_pr</v>
          </cell>
          <cell r="C286">
            <v>4729.62</v>
          </cell>
          <cell r="D286">
            <v>4729.62</v>
          </cell>
          <cell r="E286" t="str">
            <v>dist</v>
          </cell>
          <cell r="F286">
            <v>4764</v>
          </cell>
          <cell r="G286">
            <v>4515</v>
          </cell>
          <cell r="H286" t="str">
            <v>labo</v>
          </cell>
          <cell r="I286">
            <v>3763.08</v>
          </cell>
          <cell r="J286">
            <v>3573</v>
          </cell>
          <cell r="K286" t="str">
            <v>ind_pr</v>
          </cell>
          <cell r="L286">
            <v>4211.45</v>
          </cell>
          <cell r="M286">
            <v>0</v>
          </cell>
          <cell r="N286" t="str">
            <v>hosp_sudpr</v>
          </cell>
          <cell r="O286">
            <v>1760</v>
          </cell>
          <cell r="P286">
            <v>0</v>
          </cell>
        </row>
        <row r="287">
          <cell r="A287" t="str">
            <v>Presidente Castelo Branco</v>
          </cell>
          <cell r="B287" t="str">
            <v>var_pr</v>
          </cell>
          <cell r="C287">
            <v>4729.62</v>
          </cell>
          <cell r="D287">
            <v>4729.62</v>
          </cell>
          <cell r="E287" t="str">
            <v>dist</v>
          </cell>
          <cell r="F287">
            <v>4764</v>
          </cell>
          <cell r="G287">
            <v>4515</v>
          </cell>
          <cell r="H287" t="str">
            <v>labo</v>
          </cell>
          <cell r="I287">
            <v>3763.08</v>
          </cell>
          <cell r="J287">
            <v>3573</v>
          </cell>
          <cell r="K287" t="str">
            <v>ind_pr</v>
          </cell>
          <cell r="L287">
            <v>4211.45</v>
          </cell>
          <cell r="M287">
            <v>0</v>
          </cell>
          <cell r="N287" t="str">
            <v>hosp_mg</v>
          </cell>
          <cell r="O287">
            <v>3888.38</v>
          </cell>
          <cell r="P287">
            <v>0</v>
          </cell>
        </row>
        <row r="288">
          <cell r="A288" t="str">
            <v>Primeiro de Maio</v>
          </cell>
          <cell r="B288" t="str">
            <v>var_ld</v>
          </cell>
          <cell r="C288">
            <v>4750</v>
          </cell>
          <cell r="D288">
            <v>4527</v>
          </cell>
          <cell r="E288" t="str">
            <v>dist</v>
          </cell>
          <cell r="F288">
            <v>4764</v>
          </cell>
          <cell r="G288">
            <v>4515</v>
          </cell>
          <cell r="H288" t="str">
            <v>labo</v>
          </cell>
          <cell r="I288">
            <v>3763.08</v>
          </cell>
          <cell r="J288">
            <v>3573</v>
          </cell>
          <cell r="K288" t="str">
            <v>ind_pr</v>
          </cell>
          <cell r="L288">
            <v>4211.45</v>
          </cell>
          <cell r="M288">
            <v>0</v>
          </cell>
          <cell r="N288">
            <v>0</v>
          </cell>
          <cell r="O288" t="e">
            <v>#N/A</v>
          </cell>
          <cell r="P288" t="e">
            <v>#N/A</v>
          </cell>
        </row>
        <row r="289">
          <cell r="A289" t="str">
            <v>Prudentopolis</v>
          </cell>
          <cell r="B289" t="str">
            <v>var_pr</v>
          </cell>
          <cell r="C289">
            <v>4729.62</v>
          </cell>
          <cell r="D289">
            <v>4729.62</v>
          </cell>
          <cell r="E289" t="str">
            <v>dist</v>
          </cell>
          <cell r="F289">
            <v>4764</v>
          </cell>
          <cell r="G289">
            <v>4515</v>
          </cell>
          <cell r="H289" t="str">
            <v>labo</v>
          </cell>
          <cell r="I289">
            <v>3763.08</v>
          </cell>
          <cell r="J289">
            <v>3573</v>
          </cell>
          <cell r="K289" t="str">
            <v>ind_pr</v>
          </cell>
          <cell r="L289">
            <v>4211.45</v>
          </cell>
          <cell r="M289">
            <v>0</v>
          </cell>
          <cell r="N289" t="str">
            <v>hosp_co</v>
          </cell>
          <cell r="O289">
            <v>3036.29</v>
          </cell>
          <cell r="P289">
            <v>0</v>
          </cell>
        </row>
        <row r="290">
          <cell r="A290" t="str">
            <v>Quarto Centenario</v>
          </cell>
          <cell r="B290" t="str">
            <v>var_pr</v>
          </cell>
          <cell r="C290">
            <v>4729.62</v>
          </cell>
          <cell r="D290">
            <v>4729.62</v>
          </cell>
          <cell r="E290" t="str">
            <v>dist</v>
          </cell>
          <cell r="F290">
            <v>4764</v>
          </cell>
          <cell r="G290">
            <v>4515</v>
          </cell>
          <cell r="H290" t="str">
            <v>labo</v>
          </cell>
          <cell r="I290">
            <v>3763.08</v>
          </cell>
          <cell r="J290">
            <v>3573</v>
          </cell>
          <cell r="K290" t="str">
            <v>ind_pr</v>
          </cell>
          <cell r="L290">
            <v>4211.45</v>
          </cell>
          <cell r="M290">
            <v>0</v>
          </cell>
          <cell r="N290" t="str">
            <v>hosp_cm</v>
          </cell>
          <cell r="O290">
            <v>4133.2</v>
          </cell>
          <cell r="P290">
            <v>0</v>
          </cell>
        </row>
        <row r="291">
          <cell r="A291" t="str">
            <v>Quatigua</v>
          </cell>
          <cell r="B291" t="str">
            <v>var_sto</v>
          </cell>
          <cell r="C291">
            <v>5030</v>
          </cell>
          <cell r="D291">
            <v>5030</v>
          </cell>
          <cell r="E291" t="str">
            <v>dist</v>
          </cell>
          <cell r="F291">
            <v>4764</v>
          </cell>
          <cell r="G291">
            <v>4515</v>
          </cell>
          <cell r="H291" t="str">
            <v>labo</v>
          </cell>
          <cell r="I291">
            <v>3763.08</v>
          </cell>
          <cell r="J291">
            <v>3573</v>
          </cell>
          <cell r="K291" t="str">
            <v>ind_pr</v>
          </cell>
          <cell r="L291">
            <v>4211.45</v>
          </cell>
          <cell r="M291">
            <v>0</v>
          </cell>
          <cell r="N291" t="str">
            <v>hosp_nor</v>
          </cell>
          <cell r="O291">
            <v>1760</v>
          </cell>
          <cell r="P291">
            <v>0</v>
          </cell>
        </row>
        <row r="292">
          <cell r="A292" t="str">
            <v>Quatro Barras</v>
          </cell>
          <cell r="B292" t="str">
            <v>var_pr</v>
          </cell>
          <cell r="C292">
            <v>4729.62</v>
          </cell>
          <cell r="D292">
            <v>4729.62</v>
          </cell>
          <cell r="E292" t="str">
            <v>dist</v>
          </cell>
          <cell r="F292">
            <v>4764</v>
          </cell>
          <cell r="G292">
            <v>4515</v>
          </cell>
          <cell r="H292" t="str">
            <v>labo</v>
          </cell>
          <cell r="I292">
            <v>3763.08</v>
          </cell>
          <cell r="J292">
            <v>3573</v>
          </cell>
          <cell r="K292" t="str">
            <v>ind_pr</v>
          </cell>
          <cell r="L292">
            <v>4211.45</v>
          </cell>
          <cell r="M292">
            <v>0</v>
          </cell>
          <cell r="N292" t="str">
            <v>hosp_pr</v>
          </cell>
          <cell r="O292">
            <v>4567</v>
          </cell>
          <cell r="P292">
            <v>0</v>
          </cell>
        </row>
        <row r="293">
          <cell r="A293" t="str">
            <v>Quatro Pontes</v>
          </cell>
          <cell r="B293" t="str">
            <v>var_op</v>
          </cell>
          <cell r="C293">
            <v>4653</v>
          </cell>
          <cell r="D293">
            <v>4452</v>
          </cell>
          <cell r="E293" t="str">
            <v>dist</v>
          </cell>
          <cell r="F293">
            <v>4764</v>
          </cell>
          <cell r="G293">
            <v>4515</v>
          </cell>
          <cell r="H293" t="str">
            <v>labo</v>
          </cell>
          <cell r="I293">
            <v>3763.08</v>
          </cell>
          <cell r="J293">
            <v>3573</v>
          </cell>
          <cell r="K293" t="str">
            <v>ind_pr</v>
          </cell>
          <cell r="L293">
            <v>4211.45</v>
          </cell>
          <cell r="M293">
            <v>0</v>
          </cell>
          <cell r="N293">
            <v>0</v>
          </cell>
          <cell r="O293" t="e">
            <v>#N/A</v>
          </cell>
          <cell r="P293" t="e">
            <v>#N/A</v>
          </cell>
        </row>
        <row r="294">
          <cell r="A294" t="str">
            <v>Quedas do Iguaçu</v>
          </cell>
          <cell r="B294" t="str">
            <v>var_op</v>
          </cell>
          <cell r="C294">
            <v>4653</v>
          </cell>
          <cell r="D294">
            <v>4452</v>
          </cell>
          <cell r="E294" t="str">
            <v>dist</v>
          </cell>
          <cell r="F294">
            <v>4764</v>
          </cell>
          <cell r="G294">
            <v>4515</v>
          </cell>
          <cell r="H294" t="str">
            <v>labo</v>
          </cell>
          <cell r="I294">
            <v>3763.08</v>
          </cell>
          <cell r="J294">
            <v>3573</v>
          </cell>
          <cell r="K294" t="str">
            <v>ind_pr</v>
          </cell>
          <cell r="L294">
            <v>4211.45</v>
          </cell>
          <cell r="M294">
            <v>0</v>
          </cell>
          <cell r="N294" t="str">
            <v>hosp_co</v>
          </cell>
          <cell r="O294">
            <v>3036.29</v>
          </cell>
          <cell r="P294">
            <v>0</v>
          </cell>
        </row>
        <row r="295">
          <cell r="A295" t="str">
            <v>Querencia do Norte</v>
          </cell>
          <cell r="B295" t="str">
            <v>var_par</v>
          </cell>
          <cell r="C295">
            <v>4846</v>
          </cell>
          <cell r="D295">
            <v>4846</v>
          </cell>
          <cell r="E295" t="str">
            <v>dist</v>
          </cell>
          <cell r="F295">
            <v>4764</v>
          </cell>
          <cell r="G295">
            <v>4515</v>
          </cell>
          <cell r="H295" t="str">
            <v>labo</v>
          </cell>
          <cell r="I295">
            <v>3763.08</v>
          </cell>
          <cell r="J295">
            <v>3573</v>
          </cell>
          <cell r="K295" t="str">
            <v>ind_pr</v>
          </cell>
          <cell r="L295">
            <v>4211.45</v>
          </cell>
          <cell r="M295">
            <v>0</v>
          </cell>
          <cell r="N295">
            <v>0</v>
          </cell>
          <cell r="O295" t="e">
            <v>#N/A</v>
          </cell>
          <cell r="P295" t="e">
            <v>#N/A</v>
          </cell>
        </row>
        <row r="296">
          <cell r="A296" t="str">
            <v>Quinta do Sol</v>
          </cell>
          <cell r="B296" t="str">
            <v>var_pr</v>
          </cell>
          <cell r="C296">
            <v>4729.62</v>
          </cell>
          <cell r="D296">
            <v>4729.62</v>
          </cell>
          <cell r="E296" t="str">
            <v>dist</v>
          </cell>
          <cell r="F296">
            <v>4764</v>
          </cell>
          <cell r="G296">
            <v>4515</v>
          </cell>
          <cell r="H296" t="str">
            <v>labo</v>
          </cell>
          <cell r="I296">
            <v>3763.08</v>
          </cell>
          <cell r="J296">
            <v>3573</v>
          </cell>
          <cell r="K296" t="str">
            <v>ind_pr</v>
          </cell>
          <cell r="L296">
            <v>4211.45</v>
          </cell>
          <cell r="M296">
            <v>0</v>
          </cell>
          <cell r="N296" t="str">
            <v>hosp_cm</v>
          </cell>
          <cell r="O296">
            <v>4133.2</v>
          </cell>
          <cell r="P296">
            <v>0</v>
          </cell>
        </row>
        <row r="297">
          <cell r="A297" t="str">
            <v>Quitandinha</v>
          </cell>
          <cell r="B297" t="str">
            <v>var_pr</v>
          </cell>
          <cell r="C297">
            <v>4729.62</v>
          </cell>
          <cell r="D297">
            <v>4729.62</v>
          </cell>
          <cell r="E297" t="str">
            <v>dist</v>
          </cell>
          <cell r="F297">
            <v>4764</v>
          </cell>
          <cell r="G297">
            <v>4515</v>
          </cell>
          <cell r="H297" t="str">
            <v>labo</v>
          </cell>
          <cell r="I297">
            <v>3763.08</v>
          </cell>
          <cell r="J297">
            <v>3573</v>
          </cell>
          <cell r="K297" t="str">
            <v>ind_pr</v>
          </cell>
          <cell r="L297">
            <v>4211.45</v>
          </cell>
          <cell r="M297">
            <v>0</v>
          </cell>
          <cell r="N297" t="str">
            <v>hosp_pr</v>
          </cell>
          <cell r="O297">
            <v>4567</v>
          </cell>
          <cell r="P297">
            <v>0</v>
          </cell>
        </row>
        <row r="298">
          <cell r="A298" t="str">
            <v>Ramilandia</v>
          </cell>
          <cell r="B298" t="str">
            <v>var_op</v>
          </cell>
          <cell r="C298">
            <v>4653</v>
          </cell>
          <cell r="D298">
            <v>4452</v>
          </cell>
          <cell r="E298" t="str">
            <v>dist</v>
          </cell>
          <cell r="F298">
            <v>4764</v>
          </cell>
          <cell r="G298">
            <v>4515</v>
          </cell>
          <cell r="H298" t="str">
            <v>labo</v>
          </cell>
          <cell r="I298">
            <v>3763.08</v>
          </cell>
          <cell r="J298">
            <v>3573</v>
          </cell>
          <cell r="K298" t="str">
            <v>ind_pr</v>
          </cell>
          <cell r="L298">
            <v>4211.45</v>
          </cell>
          <cell r="M298">
            <v>0</v>
          </cell>
          <cell r="N298" t="str">
            <v>hosp_pr</v>
          </cell>
          <cell r="O298">
            <v>4567</v>
          </cell>
          <cell r="P298">
            <v>0</v>
          </cell>
        </row>
        <row r="299">
          <cell r="A299" t="str">
            <v>Rancho Alegre</v>
          </cell>
          <cell r="B299" t="str">
            <v>var_pr</v>
          </cell>
          <cell r="C299">
            <v>4729.62</v>
          </cell>
          <cell r="D299">
            <v>4729.62</v>
          </cell>
          <cell r="E299" t="str">
            <v>dist</v>
          </cell>
          <cell r="F299">
            <v>4764</v>
          </cell>
          <cell r="G299">
            <v>4515</v>
          </cell>
          <cell r="H299" t="str">
            <v>labo</v>
          </cell>
          <cell r="I299">
            <v>3763.08</v>
          </cell>
          <cell r="J299">
            <v>3573</v>
          </cell>
          <cell r="K299" t="str">
            <v>ind_pr</v>
          </cell>
          <cell r="L299">
            <v>4211.45</v>
          </cell>
          <cell r="M299">
            <v>0</v>
          </cell>
          <cell r="N299">
            <v>0</v>
          </cell>
          <cell r="O299" t="e">
            <v>#N/A</v>
          </cell>
          <cell r="P299" t="e">
            <v>#N/A</v>
          </cell>
        </row>
        <row r="300">
          <cell r="A300" t="str">
            <v>Rancho Alegre do Oeste</v>
          </cell>
          <cell r="B300" t="str">
            <v>var_pr</v>
          </cell>
          <cell r="C300">
            <v>4729.62</v>
          </cell>
          <cell r="D300">
            <v>4729.62</v>
          </cell>
          <cell r="E300" t="str">
            <v>dist</v>
          </cell>
          <cell r="F300">
            <v>4764</v>
          </cell>
          <cell r="G300">
            <v>4515</v>
          </cell>
          <cell r="H300" t="str">
            <v>labo</v>
          </cell>
          <cell r="I300">
            <v>3763.08</v>
          </cell>
          <cell r="J300">
            <v>3573</v>
          </cell>
          <cell r="K300" t="str">
            <v>ind_pr</v>
          </cell>
          <cell r="L300">
            <v>4211.45</v>
          </cell>
          <cell r="M300">
            <v>0</v>
          </cell>
          <cell r="N300" t="str">
            <v>hosp_cm</v>
          </cell>
          <cell r="O300">
            <v>4133.2</v>
          </cell>
          <cell r="P300">
            <v>0</v>
          </cell>
        </row>
        <row r="301">
          <cell r="A301" t="str">
            <v>Realeza</v>
          </cell>
          <cell r="B301" t="str">
            <v>var_pr</v>
          </cell>
          <cell r="C301">
            <v>4729.62</v>
          </cell>
          <cell r="D301">
            <v>4729.62</v>
          </cell>
          <cell r="E301" t="str">
            <v>dist</v>
          </cell>
          <cell r="F301">
            <v>4764</v>
          </cell>
          <cell r="G301">
            <v>4515</v>
          </cell>
          <cell r="H301" t="str">
            <v>labo</v>
          </cell>
          <cell r="I301">
            <v>3763.08</v>
          </cell>
          <cell r="J301">
            <v>3573</v>
          </cell>
          <cell r="K301" t="str">
            <v>ind_pr</v>
          </cell>
          <cell r="L301">
            <v>4211.45</v>
          </cell>
          <cell r="M301">
            <v>0</v>
          </cell>
          <cell r="N301" t="str">
            <v>hosp_sudpr</v>
          </cell>
          <cell r="O301">
            <v>1760</v>
          </cell>
          <cell r="P301">
            <v>0</v>
          </cell>
        </row>
        <row r="302">
          <cell r="A302" t="str">
            <v>Rebouças</v>
          </cell>
          <cell r="B302" t="str">
            <v>var_pr</v>
          </cell>
          <cell r="C302">
            <v>4729.62</v>
          </cell>
          <cell r="D302">
            <v>4729.62</v>
          </cell>
          <cell r="E302" t="str">
            <v>dist</v>
          </cell>
          <cell r="F302">
            <v>4764</v>
          </cell>
          <cell r="G302">
            <v>4515</v>
          </cell>
          <cell r="H302" t="str">
            <v>labo</v>
          </cell>
          <cell r="I302">
            <v>3763.08</v>
          </cell>
          <cell r="J302">
            <v>3573</v>
          </cell>
          <cell r="K302" t="str">
            <v>ind_pr</v>
          </cell>
          <cell r="L302">
            <v>4211.45</v>
          </cell>
          <cell r="M302">
            <v>0</v>
          </cell>
          <cell r="N302">
            <v>0</v>
          </cell>
          <cell r="O302" t="e">
            <v>#N/A</v>
          </cell>
          <cell r="P302" t="e">
            <v>#N/A</v>
          </cell>
        </row>
        <row r="303">
          <cell r="A303" t="str">
            <v>Renascença</v>
          </cell>
          <cell r="B303" t="str">
            <v>var_pr</v>
          </cell>
          <cell r="C303">
            <v>4729.62</v>
          </cell>
          <cell r="D303">
            <v>4729.62</v>
          </cell>
          <cell r="E303" t="str">
            <v>dist</v>
          </cell>
          <cell r="F303">
            <v>4764</v>
          </cell>
          <cell r="G303">
            <v>4515</v>
          </cell>
          <cell r="H303" t="str">
            <v>labo</v>
          </cell>
          <cell r="I303">
            <v>3763.08</v>
          </cell>
          <cell r="J303">
            <v>3573</v>
          </cell>
          <cell r="K303" t="str">
            <v>ind_pr</v>
          </cell>
          <cell r="L303">
            <v>4211.45</v>
          </cell>
          <cell r="M303">
            <v>0</v>
          </cell>
          <cell r="N303" t="str">
            <v>hosp_sudpr</v>
          </cell>
          <cell r="O303">
            <v>1760</v>
          </cell>
          <cell r="P303">
            <v>0</v>
          </cell>
        </row>
        <row r="304">
          <cell r="A304" t="str">
            <v>Reserva</v>
          </cell>
          <cell r="B304" t="str">
            <v>var_pr</v>
          </cell>
          <cell r="C304">
            <v>4729.62</v>
          </cell>
          <cell r="D304">
            <v>4729.62</v>
          </cell>
          <cell r="E304" t="str">
            <v>dist</v>
          </cell>
          <cell r="F304">
            <v>4764</v>
          </cell>
          <cell r="G304">
            <v>4515</v>
          </cell>
          <cell r="H304" t="str">
            <v>labo</v>
          </cell>
          <cell r="I304">
            <v>3763.08</v>
          </cell>
          <cell r="J304">
            <v>3573</v>
          </cell>
          <cell r="K304" t="str">
            <v>ind_pr</v>
          </cell>
          <cell r="L304">
            <v>4211.45</v>
          </cell>
          <cell r="M304">
            <v>0</v>
          </cell>
          <cell r="N304" t="str">
            <v>hosp_pr</v>
          </cell>
          <cell r="O304">
            <v>4567</v>
          </cell>
          <cell r="P304">
            <v>0</v>
          </cell>
        </row>
        <row r="305">
          <cell r="A305" t="str">
            <v>Reserva do Iguaçu</v>
          </cell>
          <cell r="B305" t="str">
            <v>var_pr</v>
          </cell>
          <cell r="C305">
            <v>4729.62</v>
          </cell>
          <cell r="D305">
            <v>4729.62</v>
          </cell>
          <cell r="E305" t="str">
            <v>dist</v>
          </cell>
          <cell r="F305">
            <v>4764</v>
          </cell>
          <cell r="G305">
            <v>4515</v>
          </cell>
          <cell r="H305" t="str">
            <v>labo</v>
          </cell>
          <cell r="I305">
            <v>3763.08</v>
          </cell>
          <cell r="J305">
            <v>3573</v>
          </cell>
          <cell r="K305" t="str">
            <v>ind_pr</v>
          </cell>
          <cell r="L305">
            <v>4211.45</v>
          </cell>
          <cell r="M305">
            <v>0</v>
          </cell>
          <cell r="N305" t="str">
            <v>hosp_co</v>
          </cell>
          <cell r="O305">
            <v>3036.29</v>
          </cell>
          <cell r="P305">
            <v>0</v>
          </cell>
        </row>
        <row r="306">
          <cell r="A306" t="str">
            <v>Ribeirao Claro</v>
          </cell>
          <cell r="B306" t="str">
            <v>var_pr</v>
          </cell>
          <cell r="C306">
            <v>4729.62</v>
          </cell>
          <cell r="D306">
            <v>4729.62</v>
          </cell>
          <cell r="E306" t="str">
            <v>dist</v>
          </cell>
          <cell r="F306">
            <v>4764</v>
          </cell>
          <cell r="G306">
            <v>4515</v>
          </cell>
          <cell r="H306" t="str">
            <v>labo</v>
          </cell>
          <cell r="I306">
            <v>3763.08</v>
          </cell>
          <cell r="J306">
            <v>3573</v>
          </cell>
          <cell r="K306" t="str">
            <v>ind_pr</v>
          </cell>
          <cell r="L306">
            <v>4211.45</v>
          </cell>
          <cell r="M306">
            <v>0</v>
          </cell>
          <cell r="N306" t="str">
            <v>hosp_nor</v>
          </cell>
          <cell r="O306">
            <v>1760</v>
          </cell>
          <cell r="P306">
            <v>0</v>
          </cell>
        </row>
        <row r="307">
          <cell r="A307" t="str">
            <v>Ribeirao do Pinhal</v>
          </cell>
          <cell r="B307" t="str">
            <v>var_sto</v>
          </cell>
          <cell r="C307">
            <v>5030</v>
          </cell>
          <cell r="D307">
            <v>5030</v>
          </cell>
          <cell r="E307" t="str">
            <v>dist</v>
          </cell>
          <cell r="F307">
            <v>4764</v>
          </cell>
          <cell r="G307">
            <v>4515</v>
          </cell>
          <cell r="H307" t="str">
            <v>labo</v>
          </cell>
          <cell r="I307">
            <v>3763.08</v>
          </cell>
          <cell r="J307">
            <v>3573</v>
          </cell>
          <cell r="K307" t="str">
            <v>ind_pr</v>
          </cell>
          <cell r="L307">
            <v>4211.45</v>
          </cell>
          <cell r="M307">
            <v>0</v>
          </cell>
          <cell r="N307">
            <v>0</v>
          </cell>
          <cell r="O307" t="e">
            <v>#N/A</v>
          </cell>
          <cell r="P307" t="e">
            <v>#N/A</v>
          </cell>
        </row>
        <row r="308">
          <cell r="A308" t="str">
            <v>Rio Azul</v>
          </cell>
          <cell r="B308" t="str">
            <v>var_pr</v>
          </cell>
          <cell r="C308">
            <v>4729.62</v>
          </cell>
          <cell r="D308">
            <v>4729.62</v>
          </cell>
          <cell r="E308" t="str">
            <v>dist</v>
          </cell>
          <cell r="F308">
            <v>4764</v>
          </cell>
          <cell r="G308">
            <v>4515</v>
          </cell>
          <cell r="H308" t="str">
            <v>labo</v>
          </cell>
          <cell r="I308">
            <v>3763.08</v>
          </cell>
          <cell r="J308">
            <v>3573</v>
          </cell>
          <cell r="K308" t="str">
            <v>ind_pr</v>
          </cell>
          <cell r="L308">
            <v>4211.45</v>
          </cell>
          <cell r="M308">
            <v>0</v>
          </cell>
          <cell r="N308">
            <v>0</v>
          </cell>
          <cell r="O308" t="e">
            <v>#N/A</v>
          </cell>
          <cell r="P308" t="e">
            <v>#N/A</v>
          </cell>
        </row>
        <row r="309">
          <cell r="A309" t="str">
            <v>Rio Bom</v>
          </cell>
          <cell r="B309" t="str">
            <v>var_pr</v>
          </cell>
          <cell r="C309">
            <v>4729.62</v>
          </cell>
          <cell r="D309">
            <v>4729.62</v>
          </cell>
          <cell r="E309" t="str">
            <v>dist</v>
          </cell>
          <cell r="F309">
            <v>4764</v>
          </cell>
          <cell r="G309">
            <v>4515</v>
          </cell>
          <cell r="H309" t="str">
            <v>labo</v>
          </cell>
          <cell r="I309">
            <v>3763.08</v>
          </cell>
          <cell r="J309">
            <v>3573</v>
          </cell>
          <cell r="K309" t="str">
            <v>ind_pr</v>
          </cell>
          <cell r="L309">
            <v>4211.45</v>
          </cell>
          <cell r="M309">
            <v>0</v>
          </cell>
          <cell r="N309">
            <v>0</v>
          </cell>
          <cell r="O309" t="e">
            <v>#N/A</v>
          </cell>
          <cell r="P309" t="e">
            <v>#N/A</v>
          </cell>
        </row>
        <row r="310">
          <cell r="A310" t="str">
            <v>Rio Bonito do Iguaçu</v>
          </cell>
          <cell r="B310" t="str">
            <v>var_pr</v>
          </cell>
          <cell r="C310">
            <v>4729.62</v>
          </cell>
          <cell r="D310">
            <v>4729.62</v>
          </cell>
          <cell r="E310" t="str">
            <v>dist</v>
          </cell>
          <cell r="F310">
            <v>4764</v>
          </cell>
          <cell r="G310">
            <v>4515</v>
          </cell>
          <cell r="H310" t="str">
            <v>labo</v>
          </cell>
          <cell r="I310">
            <v>3763.08</v>
          </cell>
          <cell r="J310">
            <v>3573</v>
          </cell>
          <cell r="K310" t="str">
            <v>ind_pr</v>
          </cell>
          <cell r="L310">
            <v>4211.45</v>
          </cell>
          <cell r="M310">
            <v>0</v>
          </cell>
          <cell r="N310" t="str">
            <v>hosp_co</v>
          </cell>
          <cell r="O310">
            <v>3036.29</v>
          </cell>
          <cell r="P310">
            <v>0</v>
          </cell>
        </row>
        <row r="311">
          <cell r="A311" t="str">
            <v>Rio Branco do Ivai</v>
          </cell>
          <cell r="B311" t="str">
            <v>var_pr</v>
          </cell>
          <cell r="C311">
            <v>4729.62</v>
          </cell>
          <cell r="D311">
            <v>4729.62</v>
          </cell>
          <cell r="E311" t="str">
            <v>dist</v>
          </cell>
          <cell r="F311">
            <v>4764</v>
          </cell>
          <cell r="G311">
            <v>4515</v>
          </cell>
          <cell r="H311" t="str">
            <v>labo</v>
          </cell>
          <cell r="I311">
            <v>3763.08</v>
          </cell>
          <cell r="J311">
            <v>3573</v>
          </cell>
          <cell r="K311" t="str">
            <v>ind_pr</v>
          </cell>
          <cell r="L311">
            <v>4211.45</v>
          </cell>
          <cell r="M311">
            <v>0</v>
          </cell>
          <cell r="N311">
            <v>0</v>
          </cell>
          <cell r="O311" t="e">
            <v>#N/A</v>
          </cell>
          <cell r="P311" t="e">
            <v>#N/A</v>
          </cell>
        </row>
        <row r="312">
          <cell r="A312" t="str">
            <v>Rio Branco do Sul</v>
          </cell>
          <cell r="B312" t="str">
            <v>var_pr</v>
          </cell>
          <cell r="C312">
            <v>4729.62</v>
          </cell>
          <cell r="D312">
            <v>4729.62</v>
          </cell>
          <cell r="E312" t="str">
            <v>dist</v>
          </cell>
          <cell r="F312">
            <v>4764</v>
          </cell>
          <cell r="G312">
            <v>4515</v>
          </cell>
          <cell r="H312" t="str">
            <v>labo</v>
          </cell>
          <cell r="I312">
            <v>3763.08</v>
          </cell>
          <cell r="J312">
            <v>3573</v>
          </cell>
          <cell r="K312" t="str">
            <v>ind_pr</v>
          </cell>
          <cell r="L312">
            <v>4211.45</v>
          </cell>
          <cell r="M312">
            <v>0</v>
          </cell>
          <cell r="N312" t="str">
            <v>hosp_pr</v>
          </cell>
          <cell r="O312">
            <v>4567</v>
          </cell>
          <cell r="P312">
            <v>0</v>
          </cell>
        </row>
        <row r="313">
          <cell r="A313" t="str">
            <v>Rio Negro</v>
          </cell>
          <cell r="B313" t="str">
            <v>var_pr</v>
          </cell>
          <cell r="C313">
            <v>4729.62</v>
          </cell>
          <cell r="D313">
            <v>4729.62</v>
          </cell>
          <cell r="E313" t="str">
            <v>dist</v>
          </cell>
          <cell r="F313">
            <v>4764</v>
          </cell>
          <cell r="G313">
            <v>4515</v>
          </cell>
          <cell r="H313" t="str">
            <v>labo</v>
          </cell>
          <cell r="I313">
            <v>3763.08</v>
          </cell>
          <cell r="J313">
            <v>3573</v>
          </cell>
          <cell r="K313" t="str">
            <v>ind_pr</v>
          </cell>
          <cell r="L313">
            <v>4211.45</v>
          </cell>
          <cell r="M313">
            <v>0</v>
          </cell>
          <cell r="N313" t="str">
            <v>hosp_pr</v>
          </cell>
          <cell r="O313">
            <v>4567</v>
          </cell>
          <cell r="P313">
            <v>0</v>
          </cell>
        </row>
        <row r="314">
          <cell r="A314" t="str">
            <v>Rolandia</v>
          </cell>
          <cell r="B314" t="str">
            <v>var_ld</v>
          </cell>
          <cell r="C314">
            <v>4750</v>
          </cell>
          <cell r="D314">
            <v>4527</v>
          </cell>
          <cell r="E314" t="str">
            <v>dist</v>
          </cell>
          <cell r="F314">
            <v>4764</v>
          </cell>
          <cell r="G314">
            <v>4515</v>
          </cell>
          <cell r="H314" t="str">
            <v>labo</v>
          </cell>
          <cell r="I314">
            <v>3763.08</v>
          </cell>
          <cell r="J314">
            <v>3573</v>
          </cell>
          <cell r="K314" t="str">
            <v>ind_nor</v>
          </cell>
          <cell r="L314">
            <v>3446</v>
          </cell>
          <cell r="M314">
            <v>0</v>
          </cell>
          <cell r="N314">
            <v>0</v>
          </cell>
          <cell r="O314" t="e">
            <v>#N/A</v>
          </cell>
          <cell r="P314" t="e">
            <v>#N/A</v>
          </cell>
        </row>
        <row r="315">
          <cell r="A315" t="str">
            <v>Roncador</v>
          </cell>
          <cell r="B315" t="str">
            <v>var_pr</v>
          </cell>
          <cell r="C315">
            <v>4729.62</v>
          </cell>
          <cell r="D315">
            <v>4729.62</v>
          </cell>
          <cell r="E315" t="str">
            <v>dist</v>
          </cell>
          <cell r="F315">
            <v>4764</v>
          </cell>
          <cell r="G315">
            <v>4515</v>
          </cell>
          <cell r="H315" t="str">
            <v>labo</v>
          </cell>
          <cell r="I315">
            <v>3763.08</v>
          </cell>
          <cell r="J315">
            <v>3573</v>
          </cell>
          <cell r="K315" t="str">
            <v>ind_pr</v>
          </cell>
          <cell r="L315">
            <v>4211.45</v>
          </cell>
          <cell r="M315">
            <v>0</v>
          </cell>
          <cell r="N315" t="str">
            <v>hosp_cm</v>
          </cell>
          <cell r="O315">
            <v>4133.2</v>
          </cell>
          <cell r="P315">
            <v>0</v>
          </cell>
        </row>
        <row r="316">
          <cell r="A316" t="str">
            <v>Rondon</v>
          </cell>
          <cell r="B316" t="str">
            <v>var_pr</v>
          </cell>
          <cell r="C316">
            <v>4729.62</v>
          </cell>
          <cell r="D316">
            <v>4729.62</v>
          </cell>
          <cell r="E316" t="str">
            <v>dist</v>
          </cell>
          <cell r="F316">
            <v>4764</v>
          </cell>
          <cell r="G316">
            <v>4515</v>
          </cell>
          <cell r="H316" t="str">
            <v>labo</v>
          </cell>
          <cell r="I316">
            <v>3763.08</v>
          </cell>
          <cell r="J316">
            <v>3573</v>
          </cell>
          <cell r="K316" t="str">
            <v>ind_pr</v>
          </cell>
          <cell r="L316">
            <v>4211.45</v>
          </cell>
          <cell r="M316">
            <v>0</v>
          </cell>
          <cell r="N316" t="str">
            <v>hosp_cia</v>
          </cell>
          <cell r="O316">
            <v>4003.87</v>
          </cell>
          <cell r="P316">
            <v>0</v>
          </cell>
        </row>
        <row r="317">
          <cell r="A317" t="str">
            <v>Rosario do Ivai</v>
          </cell>
          <cell r="B317" t="str">
            <v>var_pr</v>
          </cell>
          <cell r="C317">
            <v>4729.62</v>
          </cell>
          <cell r="D317">
            <v>4729.62</v>
          </cell>
          <cell r="E317" t="str">
            <v>dist</v>
          </cell>
          <cell r="F317">
            <v>4764</v>
          </cell>
          <cell r="G317">
            <v>4515</v>
          </cell>
          <cell r="H317" t="str">
            <v>labo</v>
          </cell>
          <cell r="I317">
            <v>3763.08</v>
          </cell>
          <cell r="J317">
            <v>3573</v>
          </cell>
          <cell r="K317" t="str">
            <v>ind_pr</v>
          </cell>
          <cell r="L317">
            <v>4211.45</v>
          </cell>
          <cell r="M317">
            <v>0</v>
          </cell>
          <cell r="N317">
            <v>0</v>
          </cell>
          <cell r="O317" t="e">
            <v>#N/A</v>
          </cell>
          <cell r="P317" t="e">
            <v>#N/A</v>
          </cell>
        </row>
        <row r="318">
          <cell r="A318" t="str">
            <v>Sabaudia</v>
          </cell>
          <cell r="B318" t="str">
            <v>var_pr</v>
          </cell>
          <cell r="C318">
            <v>4729.62</v>
          </cell>
          <cell r="D318">
            <v>4729.62</v>
          </cell>
          <cell r="E318" t="str">
            <v>dist</v>
          </cell>
          <cell r="F318">
            <v>4764</v>
          </cell>
          <cell r="G318">
            <v>4515</v>
          </cell>
          <cell r="H318" t="str">
            <v>labo</v>
          </cell>
          <cell r="I318">
            <v>3763.08</v>
          </cell>
          <cell r="J318">
            <v>3573</v>
          </cell>
          <cell r="K318" t="str">
            <v>ind_pr</v>
          </cell>
          <cell r="L318">
            <v>4211.45</v>
          </cell>
          <cell r="M318">
            <v>0</v>
          </cell>
          <cell r="N318">
            <v>0</v>
          </cell>
          <cell r="O318" t="e">
            <v>#N/A</v>
          </cell>
          <cell r="P318" t="e">
            <v>#N/A</v>
          </cell>
        </row>
        <row r="319">
          <cell r="A319" t="str">
            <v>Salgado Filho</v>
          </cell>
          <cell r="B319" t="str">
            <v>var_pr</v>
          </cell>
          <cell r="C319">
            <v>4729.62</v>
          </cell>
          <cell r="D319">
            <v>4729.62</v>
          </cell>
          <cell r="E319" t="str">
            <v>dist</v>
          </cell>
          <cell r="F319">
            <v>4764</v>
          </cell>
          <cell r="G319">
            <v>4515</v>
          </cell>
          <cell r="H319" t="str">
            <v>labo</v>
          </cell>
          <cell r="I319">
            <v>3763.08</v>
          </cell>
          <cell r="J319">
            <v>3573</v>
          </cell>
          <cell r="K319" t="str">
            <v>ind_pr</v>
          </cell>
          <cell r="L319">
            <v>4211.45</v>
          </cell>
          <cell r="M319">
            <v>0</v>
          </cell>
          <cell r="N319" t="str">
            <v>hosp_sudpr</v>
          </cell>
          <cell r="O319">
            <v>1760</v>
          </cell>
          <cell r="P319">
            <v>0</v>
          </cell>
        </row>
        <row r="320">
          <cell r="A320" t="str">
            <v>Salto do Itarare</v>
          </cell>
          <cell r="B320" t="str">
            <v>var_sto</v>
          </cell>
          <cell r="C320">
            <v>5030</v>
          </cell>
          <cell r="D320">
            <v>5030</v>
          </cell>
          <cell r="E320" t="str">
            <v>dist</v>
          </cell>
          <cell r="F320">
            <v>4764</v>
          </cell>
          <cell r="G320">
            <v>4515</v>
          </cell>
          <cell r="H320" t="str">
            <v>labo</v>
          </cell>
          <cell r="I320">
            <v>3763.08</v>
          </cell>
          <cell r="J320">
            <v>3573</v>
          </cell>
          <cell r="K320" t="str">
            <v>ind_pr</v>
          </cell>
          <cell r="L320">
            <v>4211.45</v>
          </cell>
          <cell r="M320">
            <v>0</v>
          </cell>
          <cell r="N320" t="str">
            <v>hosp_nor</v>
          </cell>
          <cell r="O320">
            <v>1760</v>
          </cell>
          <cell r="P320">
            <v>0</v>
          </cell>
        </row>
        <row r="321">
          <cell r="A321" t="str">
            <v>Salto do Lontra</v>
          </cell>
          <cell r="B321" t="str">
            <v>var_pr</v>
          </cell>
          <cell r="C321">
            <v>4729.62</v>
          </cell>
          <cell r="D321">
            <v>4729.62</v>
          </cell>
          <cell r="E321" t="str">
            <v>dist</v>
          </cell>
          <cell r="F321">
            <v>4764</v>
          </cell>
          <cell r="G321">
            <v>4515</v>
          </cell>
          <cell r="H321" t="str">
            <v>labo</v>
          </cell>
          <cell r="I321">
            <v>3763.08</v>
          </cell>
          <cell r="J321">
            <v>3573</v>
          </cell>
          <cell r="K321" t="str">
            <v>ind_pr</v>
          </cell>
          <cell r="L321">
            <v>4211.45</v>
          </cell>
          <cell r="M321">
            <v>0</v>
          </cell>
          <cell r="N321" t="str">
            <v>hosp_sudpr</v>
          </cell>
          <cell r="O321">
            <v>1760</v>
          </cell>
          <cell r="P321">
            <v>0</v>
          </cell>
        </row>
        <row r="322">
          <cell r="A322" t="str">
            <v>Santa Amelia</v>
          </cell>
          <cell r="B322" t="str">
            <v>var_pr</v>
          </cell>
          <cell r="C322">
            <v>4729.62</v>
          </cell>
          <cell r="D322">
            <v>4729.62</v>
          </cell>
          <cell r="E322" t="str">
            <v>dist</v>
          </cell>
          <cell r="F322">
            <v>4764</v>
          </cell>
          <cell r="G322">
            <v>4515</v>
          </cell>
          <cell r="H322" t="str">
            <v>labo</v>
          </cell>
          <cell r="I322">
            <v>3763.08</v>
          </cell>
          <cell r="J322">
            <v>3573</v>
          </cell>
          <cell r="K322" t="str">
            <v>ind_pr</v>
          </cell>
          <cell r="L322">
            <v>4211.45</v>
          </cell>
          <cell r="M322">
            <v>0</v>
          </cell>
          <cell r="N322">
            <v>0</v>
          </cell>
          <cell r="O322" t="e">
            <v>#N/A</v>
          </cell>
          <cell r="P322" t="e">
            <v>#N/A</v>
          </cell>
        </row>
        <row r="323">
          <cell r="A323" t="str">
            <v>Santa Cecilia do Pavao</v>
          </cell>
          <cell r="B323" t="str">
            <v>var_pr</v>
          </cell>
          <cell r="C323">
            <v>4729.62</v>
          </cell>
          <cell r="D323">
            <v>4729.62</v>
          </cell>
          <cell r="E323" t="str">
            <v>dist</v>
          </cell>
          <cell r="F323">
            <v>4764</v>
          </cell>
          <cell r="G323">
            <v>4515</v>
          </cell>
          <cell r="H323" t="str">
            <v>labo</v>
          </cell>
          <cell r="I323">
            <v>3763.08</v>
          </cell>
          <cell r="J323">
            <v>3573</v>
          </cell>
          <cell r="K323" t="str">
            <v>ind_pr</v>
          </cell>
          <cell r="L323">
            <v>4211.45</v>
          </cell>
          <cell r="M323">
            <v>0</v>
          </cell>
          <cell r="N323">
            <v>0</v>
          </cell>
          <cell r="O323" t="e">
            <v>#N/A</v>
          </cell>
          <cell r="P323" t="e">
            <v>#N/A</v>
          </cell>
        </row>
        <row r="324">
          <cell r="A324" t="str">
            <v>Santa Cruz de Monte Castelo</v>
          </cell>
          <cell r="B324" t="str">
            <v>var_par</v>
          </cell>
          <cell r="C324">
            <v>4846</v>
          </cell>
          <cell r="D324">
            <v>4846</v>
          </cell>
          <cell r="E324" t="str">
            <v>dist</v>
          </cell>
          <cell r="F324">
            <v>4764</v>
          </cell>
          <cell r="G324">
            <v>4515</v>
          </cell>
          <cell r="H324" t="str">
            <v>labo</v>
          </cell>
          <cell r="I324">
            <v>3763.08</v>
          </cell>
          <cell r="J324">
            <v>3573</v>
          </cell>
          <cell r="K324" t="str">
            <v>ind_pr</v>
          </cell>
          <cell r="L324">
            <v>4211.45</v>
          </cell>
          <cell r="M324">
            <v>0</v>
          </cell>
          <cell r="N324">
            <v>0</v>
          </cell>
          <cell r="O324" t="e">
            <v>#N/A</v>
          </cell>
          <cell r="P324" t="e">
            <v>#N/A</v>
          </cell>
        </row>
        <row r="325">
          <cell r="A325" t="str">
            <v>Santa Fe</v>
          </cell>
          <cell r="B325" t="str">
            <v>var_pr</v>
          </cell>
          <cell r="C325">
            <v>4729.62</v>
          </cell>
          <cell r="D325">
            <v>4729.62</v>
          </cell>
          <cell r="E325" t="str">
            <v>dist</v>
          </cell>
          <cell r="F325">
            <v>4764</v>
          </cell>
          <cell r="G325">
            <v>4515</v>
          </cell>
          <cell r="H325" t="str">
            <v>labo</v>
          </cell>
          <cell r="I325">
            <v>3763.08</v>
          </cell>
          <cell r="J325">
            <v>3573</v>
          </cell>
          <cell r="K325" t="str">
            <v>ind_pr</v>
          </cell>
          <cell r="L325">
            <v>4211.45</v>
          </cell>
          <cell r="M325">
            <v>0</v>
          </cell>
          <cell r="N325" t="str">
            <v>hosp_mg</v>
          </cell>
          <cell r="O325">
            <v>3888.38</v>
          </cell>
          <cell r="P325">
            <v>0</v>
          </cell>
        </row>
        <row r="326">
          <cell r="A326" t="str">
            <v>Santa Helena</v>
          </cell>
          <cell r="B326" t="str">
            <v>var_op</v>
          </cell>
          <cell r="C326">
            <v>4653</v>
          </cell>
          <cell r="D326">
            <v>4452</v>
          </cell>
          <cell r="E326" t="str">
            <v>dist</v>
          </cell>
          <cell r="F326">
            <v>4764</v>
          </cell>
          <cell r="G326">
            <v>4515</v>
          </cell>
          <cell r="H326" t="str">
            <v>labo</v>
          </cell>
          <cell r="I326">
            <v>3763.08</v>
          </cell>
          <cell r="J326">
            <v>3573</v>
          </cell>
          <cell r="K326" t="str">
            <v>ind_pr</v>
          </cell>
          <cell r="L326">
            <v>4211.45</v>
          </cell>
          <cell r="M326">
            <v>0</v>
          </cell>
          <cell r="N326" t="str">
            <v>hosp_pr</v>
          </cell>
          <cell r="O326">
            <v>4567</v>
          </cell>
          <cell r="P326">
            <v>0</v>
          </cell>
        </row>
        <row r="327">
          <cell r="A327" t="str">
            <v>Santa Ines</v>
          </cell>
          <cell r="B327" t="str">
            <v>var_pr</v>
          </cell>
          <cell r="C327">
            <v>4729.62</v>
          </cell>
          <cell r="D327">
            <v>4729.62</v>
          </cell>
          <cell r="E327" t="str">
            <v>dist</v>
          </cell>
          <cell r="F327">
            <v>4764</v>
          </cell>
          <cell r="G327">
            <v>4515</v>
          </cell>
          <cell r="H327" t="str">
            <v>labo</v>
          </cell>
          <cell r="I327">
            <v>3763.08</v>
          </cell>
          <cell r="J327">
            <v>3573</v>
          </cell>
          <cell r="K327" t="str">
            <v>ind_pr</v>
          </cell>
          <cell r="L327">
            <v>4211.45</v>
          </cell>
          <cell r="M327">
            <v>0</v>
          </cell>
          <cell r="N327" t="str">
            <v>hosp_mg</v>
          </cell>
          <cell r="O327">
            <v>3888.38</v>
          </cell>
          <cell r="P327">
            <v>0</v>
          </cell>
        </row>
        <row r="328">
          <cell r="A328" t="str">
            <v>Santa Isabel do Ivai</v>
          </cell>
          <cell r="B328" t="str">
            <v>var_par</v>
          </cell>
          <cell r="C328">
            <v>4846</v>
          </cell>
          <cell r="D328">
            <v>4846</v>
          </cell>
          <cell r="E328" t="str">
            <v>dist</v>
          </cell>
          <cell r="F328">
            <v>4764</v>
          </cell>
          <cell r="G328">
            <v>4515</v>
          </cell>
          <cell r="H328" t="str">
            <v>labo</v>
          </cell>
          <cell r="I328">
            <v>3763.08</v>
          </cell>
          <cell r="J328">
            <v>3573</v>
          </cell>
          <cell r="K328" t="str">
            <v>ind_pr</v>
          </cell>
          <cell r="L328">
            <v>4211.45</v>
          </cell>
          <cell r="M328">
            <v>0</v>
          </cell>
          <cell r="N328">
            <v>0</v>
          </cell>
          <cell r="O328" t="e">
            <v>#N/A</v>
          </cell>
          <cell r="P328" t="e">
            <v>#N/A</v>
          </cell>
        </row>
        <row r="329">
          <cell r="A329" t="str">
            <v>Santa Izabel do Oeste</v>
          </cell>
          <cell r="B329" t="str">
            <v>var_pr</v>
          </cell>
          <cell r="C329">
            <v>4729.62</v>
          </cell>
          <cell r="D329">
            <v>4729.62</v>
          </cell>
          <cell r="E329" t="str">
            <v>dist</v>
          </cell>
          <cell r="F329">
            <v>4764</v>
          </cell>
          <cell r="G329">
            <v>4515</v>
          </cell>
          <cell r="H329" t="str">
            <v>labo</v>
          </cell>
          <cell r="I329">
            <v>3763.08</v>
          </cell>
          <cell r="J329">
            <v>3573</v>
          </cell>
          <cell r="K329" t="str">
            <v>ind_pr</v>
          </cell>
          <cell r="L329">
            <v>4211.45</v>
          </cell>
          <cell r="M329">
            <v>0</v>
          </cell>
          <cell r="N329" t="str">
            <v>hosp_sudpr</v>
          </cell>
          <cell r="O329">
            <v>1760</v>
          </cell>
          <cell r="P329">
            <v>0</v>
          </cell>
        </row>
        <row r="330">
          <cell r="A330" t="str">
            <v>Santa Lucia</v>
          </cell>
          <cell r="B330" t="str">
            <v>var_op</v>
          </cell>
          <cell r="C330">
            <v>4653</v>
          </cell>
          <cell r="D330">
            <v>4452</v>
          </cell>
          <cell r="E330" t="str">
            <v>dist</v>
          </cell>
          <cell r="F330">
            <v>4764</v>
          </cell>
          <cell r="G330">
            <v>4515</v>
          </cell>
          <cell r="H330" t="str">
            <v>labo</v>
          </cell>
          <cell r="I330">
            <v>3763.08</v>
          </cell>
          <cell r="J330">
            <v>3573</v>
          </cell>
          <cell r="K330" t="str">
            <v>ind_pr</v>
          </cell>
          <cell r="L330">
            <v>4211.45</v>
          </cell>
          <cell r="M330">
            <v>0</v>
          </cell>
          <cell r="N330">
            <v>0</v>
          </cell>
          <cell r="O330" t="e">
            <v>#N/A</v>
          </cell>
          <cell r="P330" t="e">
            <v>#N/A</v>
          </cell>
        </row>
        <row r="331">
          <cell r="A331" t="str">
            <v>Santa Maria do Oeste</v>
          </cell>
          <cell r="B331" t="str">
            <v>var_pr</v>
          </cell>
          <cell r="C331">
            <v>4729.62</v>
          </cell>
          <cell r="D331">
            <v>4729.62</v>
          </cell>
          <cell r="E331" t="str">
            <v>dist</v>
          </cell>
          <cell r="F331">
            <v>4764</v>
          </cell>
          <cell r="G331">
            <v>4515</v>
          </cell>
          <cell r="H331" t="str">
            <v>labo</v>
          </cell>
          <cell r="I331">
            <v>3763.08</v>
          </cell>
          <cell r="J331">
            <v>3573</v>
          </cell>
          <cell r="K331" t="str">
            <v>ind_pr</v>
          </cell>
          <cell r="L331">
            <v>4211.45</v>
          </cell>
          <cell r="M331">
            <v>0</v>
          </cell>
          <cell r="N331" t="str">
            <v>hosp_co</v>
          </cell>
          <cell r="O331">
            <v>3036.29</v>
          </cell>
          <cell r="P331">
            <v>0</v>
          </cell>
        </row>
        <row r="332">
          <cell r="A332" t="str">
            <v>Santa Mariana</v>
          </cell>
          <cell r="B332" t="str">
            <v>var_ld</v>
          </cell>
          <cell r="C332">
            <v>4750</v>
          </cell>
          <cell r="D332">
            <v>4527</v>
          </cell>
          <cell r="E332" t="str">
            <v>dist</v>
          </cell>
          <cell r="F332">
            <v>4764</v>
          </cell>
          <cell r="G332">
            <v>4515</v>
          </cell>
          <cell r="H332" t="str">
            <v>labo</v>
          </cell>
          <cell r="I332">
            <v>3763.08</v>
          </cell>
          <cell r="J332">
            <v>3573</v>
          </cell>
          <cell r="K332" t="str">
            <v>ind_pr</v>
          </cell>
          <cell r="L332">
            <v>4211.45</v>
          </cell>
          <cell r="M332">
            <v>0</v>
          </cell>
          <cell r="N332">
            <v>0</v>
          </cell>
          <cell r="O332" t="e">
            <v>#N/A</v>
          </cell>
          <cell r="P332" t="e">
            <v>#N/A</v>
          </cell>
        </row>
        <row r="333">
          <cell r="A333" t="str">
            <v>Santa Monica</v>
          </cell>
          <cell r="B333" t="str">
            <v>var_par</v>
          </cell>
          <cell r="C333">
            <v>4846</v>
          </cell>
          <cell r="D333">
            <v>4846</v>
          </cell>
          <cell r="E333" t="str">
            <v>dist</v>
          </cell>
          <cell r="F333">
            <v>4764</v>
          </cell>
          <cell r="G333">
            <v>4515</v>
          </cell>
          <cell r="H333" t="str">
            <v>labo</v>
          </cell>
          <cell r="I333">
            <v>3763.08</v>
          </cell>
          <cell r="J333">
            <v>3573</v>
          </cell>
          <cell r="K333" t="str">
            <v>ind_pr</v>
          </cell>
          <cell r="L333">
            <v>4211.45</v>
          </cell>
          <cell r="M333">
            <v>0</v>
          </cell>
          <cell r="N333">
            <v>0</v>
          </cell>
          <cell r="O333" t="e">
            <v>#N/A</v>
          </cell>
          <cell r="P333" t="e">
            <v>#N/A</v>
          </cell>
        </row>
        <row r="334">
          <cell r="A334" t="str">
            <v>Santa Tereza do Oeste</v>
          </cell>
          <cell r="B334" t="str">
            <v>var_op</v>
          </cell>
          <cell r="C334">
            <v>4653</v>
          </cell>
          <cell r="D334">
            <v>4452</v>
          </cell>
          <cell r="E334" t="str">
            <v>dist</v>
          </cell>
          <cell r="F334">
            <v>4764</v>
          </cell>
          <cell r="G334">
            <v>4515</v>
          </cell>
          <cell r="H334" t="str">
            <v>labo</v>
          </cell>
          <cell r="I334">
            <v>3763.08</v>
          </cell>
          <cell r="J334">
            <v>3573</v>
          </cell>
          <cell r="K334" t="str">
            <v>ind_pr</v>
          </cell>
          <cell r="L334">
            <v>4211.45</v>
          </cell>
          <cell r="M334">
            <v>0</v>
          </cell>
          <cell r="N334">
            <v>0</v>
          </cell>
          <cell r="O334" t="e">
            <v>#N/A</v>
          </cell>
          <cell r="P334" t="e">
            <v>#N/A</v>
          </cell>
        </row>
        <row r="335">
          <cell r="A335" t="str">
            <v>Santa Terezinha de Itaipu</v>
          </cell>
          <cell r="B335" t="str">
            <v>var_op</v>
          </cell>
          <cell r="C335">
            <v>4653</v>
          </cell>
          <cell r="D335">
            <v>4452</v>
          </cell>
          <cell r="E335" t="str">
            <v>dist</v>
          </cell>
          <cell r="F335">
            <v>4764</v>
          </cell>
          <cell r="G335">
            <v>4515</v>
          </cell>
          <cell r="H335" t="str">
            <v>labo</v>
          </cell>
          <cell r="I335">
            <v>3763.08</v>
          </cell>
          <cell r="J335">
            <v>3573</v>
          </cell>
          <cell r="K335" t="str">
            <v>ind_pr</v>
          </cell>
          <cell r="L335">
            <v>4211.45</v>
          </cell>
          <cell r="M335">
            <v>0</v>
          </cell>
          <cell r="N335" t="str">
            <v>hosp_pr</v>
          </cell>
          <cell r="O335">
            <v>4567</v>
          </cell>
          <cell r="P335">
            <v>0</v>
          </cell>
        </row>
        <row r="336">
          <cell r="A336" t="str">
            <v>Santana do Itarare</v>
          </cell>
          <cell r="B336" t="str">
            <v>var_sto</v>
          </cell>
          <cell r="C336">
            <v>5030</v>
          </cell>
          <cell r="D336">
            <v>5030</v>
          </cell>
          <cell r="E336" t="str">
            <v>dist</v>
          </cell>
          <cell r="F336">
            <v>4764</v>
          </cell>
          <cell r="G336">
            <v>4515</v>
          </cell>
          <cell r="H336" t="str">
            <v>labo</v>
          </cell>
          <cell r="I336">
            <v>3763.08</v>
          </cell>
          <cell r="J336">
            <v>3573</v>
          </cell>
          <cell r="K336" t="str">
            <v>ind_pr</v>
          </cell>
          <cell r="L336">
            <v>4211.45</v>
          </cell>
          <cell r="M336">
            <v>0</v>
          </cell>
          <cell r="N336" t="str">
            <v>hosp_nor</v>
          </cell>
          <cell r="O336">
            <v>1760</v>
          </cell>
          <cell r="P336">
            <v>0</v>
          </cell>
        </row>
        <row r="337">
          <cell r="A337" t="str">
            <v>Santo Antonio da Platina</v>
          </cell>
          <cell r="B337" t="str">
            <v>var_sto</v>
          </cell>
          <cell r="C337">
            <v>5030</v>
          </cell>
          <cell r="D337">
            <v>5030</v>
          </cell>
          <cell r="E337" t="str">
            <v>dist</v>
          </cell>
          <cell r="F337">
            <v>4764</v>
          </cell>
          <cell r="G337">
            <v>4515</v>
          </cell>
          <cell r="H337" t="str">
            <v>labo</v>
          </cell>
          <cell r="I337">
            <v>3763.08</v>
          </cell>
          <cell r="J337">
            <v>3573</v>
          </cell>
          <cell r="K337" t="str">
            <v>ind_pr</v>
          </cell>
          <cell r="L337">
            <v>4211.45</v>
          </cell>
          <cell r="M337">
            <v>0</v>
          </cell>
          <cell r="N337" t="str">
            <v>hosp_nor</v>
          </cell>
          <cell r="O337">
            <v>1760</v>
          </cell>
          <cell r="P337">
            <v>0</v>
          </cell>
        </row>
        <row r="338">
          <cell r="A338" t="str">
            <v>Santo Antonio do Caiua</v>
          </cell>
          <cell r="B338" t="str">
            <v>var_par</v>
          </cell>
          <cell r="C338">
            <v>4846</v>
          </cell>
          <cell r="D338">
            <v>4846</v>
          </cell>
          <cell r="E338" t="str">
            <v>dist</v>
          </cell>
          <cell r="F338">
            <v>4764</v>
          </cell>
          <cell r="G338">
            <v>4515</v>
          </cell>
          <cell r="H338" t="str">
            <v>labo</v>
          </cell>
          <cell r="I338">
            <v>3763.08</v>
          </cell>
          <cell r="J338">
            <v>3573</v>
          </cell>
          <cell r="K338" t="str">
            <v>ind_pr</v>
          </cell>
          <cell r="L338">
            <v>4211.45</v>
          </cell>
          <cell r="M338">
            <v>0</v>
          </cell>
          <cell r="N338">
            <v>0</v>
          </cell>
          <cell r="O338" t="e">
            <v>#N/A</v>
          </cell>
          <cell r="P338" t="e">
            <v>#N/A</v>
          </cell>
        </row>
        <row r="339">
          <cell r="A339" t="str">
            <v>Santo Antonio do Paraiso</v>
          </cell>
          <cell r="B339" t="str">
            <v>var_pr</v>
          </cell>
          <cell r="C339">
            <v>4729.62</v>
          </cell>
          <cell r="D339">
            <v>4729.62</v>
          </cell>
          <cell r="E339" t="str">
            <v>dist</v>
          </cell>
          <cell r="F339">
            <v>4764</v>
          </cell>
          <cell r="G339">
            <v>4515</v>
          </cell>
          <cell r="H339" t="str">
            <v>labo</v>
          </cell>
          <cell r="I339">
            <v>3763.08</v>
          </cell>
          <cell r="J339">
            <v>3573</v>
          </cell>
          <cell r="K339" t="str">
            <v>ind_pr</v>
          </cell>
          <cell r="L339">
            <v>4211.45</v>
          </cell>
          <cell r="M339">
            <v>0</v>
          </cell>
          <cell r="N339">
            <v>0</v>
          </cell>
          <cell r="O339" t="e">
            <v>#N/A</v>
          </cell>
          <cell r="P339" t="e">
            <v>#N/A</v>
          </cell>
        </row>
        <row r="340">
          <cell r="A340" t="str">
            <v>Santo Antonio do Sudoeste</v>
          </cell>
          <cell r="B340" t="str">
            <v>var_pr</v>
          </cell>
          <cell r="C340">
            <v>4729.62</v>
          </cell>
          <cell r="D340">
            <v>4729.62</v>
          </cell>
          <cell r="E340" t="str">
            <v>dist</v>
          </cell>
          <cell r="F340">
            <v>4764</v>
          </cell>
          <cell r="G340">
            <v>4515</v>
          </cell>
          <cell r="H340" t="str">
            <v>labo</v>
          </cell>
          <cell r="I340">
            <v>3763.08</v>
          </cell>
          <cell r="J340">
            <v>3573</v>
          </cell>
          <cell r="K340" t="str">
            <v>ind_pr</v>
          </cell>
          <cell r="L340">
            <v>4211.45</v>
          </cell>
          <cell r="M340">
            <v>0</v>
          </cell>
          <cell r="N340" t="str">
            <v>hosp_sudpr</v>
          </cell>
          <cell r="O340">
            <v>1760</v>
          </cell>
          <cell r="P340">
            <v>0</v>
          </cell>
        </row>
        <row r="341">
          <cell r="A341" t="str">
            <v>Santo Inacio</v>
          </cell>
          <cell r="B341" t="str">
            <v>var_pr</v>
          </cell>
          <cell r="C341">
            <v>4729.62</v>
          </cell>
          <cell r="D341">
            <v>4729.62</v>
          </cell>
          <cell r="E341" t="str">
            <v>dist</v>
          </cell>
          <cell r="F341">
            <v>4764</v>
          </cell>
          <cell r="G341">
            <v>4515</v>
          </cell>
          <cell r="H341" t="str">
            <v>labo</v>
          </cell>
          <cell r="I341">
            <v>3763.08</v>
          </cell>
          <cell r="J341">
            <v>3573</v>
          </cell>
          <cell r="K341" t="str">
            <v>ind_pr</v>
          </cell>
          <cell r="L341">
            <v>4211.45</v>
          </cell>
          <cell r="M341">
            <v>0</v>
          </cell>
          <cell r="N341" t="str">
            <v>hosp_mg</v>
          </cell>
          <cell r="O341">
            <v>3888.38</v>
          </cell>
          <cell r="P341">
            <v>0</v>
          </cell>
        </row>
        <row r="342">
          <cell r="A342" t="str">
            <v>Sao Carlos do Ivai</v>
          </cell>
          <cell r="B342" t="str">
            <v>var_par</v>
          </cell>
          <cell r="C342">
            <v>4846</v>
          </cell>
          <cell r="D342">
            <v>4846</v>
          </cell>
          <cell r="E342" t="str">
            <v>dist</v>
          </cell>
          <cell r="F342">
            <v>4764</v>
          </cell>
          <cell r="G342">
            <v>4515</v>
          </cell>
          <cell r="H342" t="str">
            <v>labo</v>
          </cell>
          <cell r="I342">
            <v>3763.08</v>
          </cell>
          <cell r="J342">
            <v>3573</v>
          </cell>
          <cell r="K342" t="str">
            <v>ind_pr</v>
          </cell>
          <cell r="L342">
            <v>4211.45</v>
          </cell>
          <cell r="M342">
            <v>0</v>
          </cell>
          <cell r="N342">
            <v>0</v>
          </cell>
          <cell r="O342" t="e">
            <v>#N/A</v>
          </cell>
          <cell r="P342" t="e">
            <v>#N/A</v>
          </cell>
        </row>
        <row r="343">
          <cell r="A343" t="str">
            <v>Sao Jeronimo da Serra</v>
          </cell>
          <cell r="B343" t="str">
            <v>var_pr</v>
          </cell>
          <cell r="C343">
            <v>4729.62</v>
          </cell>
          <cell r="D343">
            <v>4729.62</v>
          </cell>
          <cell r="E343" t="str">
            <v>dist</v>
          </cell>
          <cell r="F343">
            <v>4764</v>
          </cell>
          <cell r="G343">
            <v>4515</v>
          </cell>
          <cell r="H343" t="str">
            <v>labo</v>
          </cell>
          <cell r="I343">
            <v>3763.08</v>
          </cell>
          <cell r="J343">
            <v>3573</v>
          </cell>
          <cell r="K343" t="str">
            <v>ind_pr</v>
          </cell>
          <cell r="L343">
            <v>4211.45</v>
          </cell>
          <cell r="M343">
            <v>0</v>
          </cell>
          <cell r="N343">
            <v>0</v>
          </cell>
          <cell r="O343" t="e">
            <v>#N/A</v>
          </cell>
          <cell r="P343" t="e">
            <v>#N/A</v>
          </cell>
        </row>
        <row r="344">
          <cell r="A344" t="str">
            <v>Sao Joao</v>
          </cell>
          <cell r="B344" t="str">
            <v>var_pr</v>
          </cell>
          <cell r="C344">
            <v>4729.62</v>
          </cell>
          <cell r="D344">
            <v>4729.62</v>
          </cell>
          <cell r="E344" t="str">
            <v>dist</v>
          </cell>
          <cell r="F344">
            <v>4764</v>
          </cell>
          <cell r="G344">
            <v>4515</v>
          </cell>
          <cell r="H344" t="str">
            <v>labo</v>
          </cell>
          <cell r="I344">
            <v>3763.08</v>
          </cell>
          <cell r="J344">
            <v>3573</v>
          </cell>
          <cell r="K344" t="str">
            <v>ind_pr</v>
          </cell>
          <cell r="L344">
            <v>4211.45</v>
          </cell>
          <cell r="M344">
            <v>0</v>
          </cell>
          <cell r="N344" t="str">
            <v>hosp_pb</v>
          </cell>
          <cell r="O344">
            <v>1760</v>
          </cell>
          <cell r="P344">
            <v>0</v>
          </cell>
        </row>
        <row r="345">
          <cell r="A345" t="str">
            <v>Sao Joao do Caiua</v>
          </cell>
          <cell r="B345" t="str">
            <v>var_par</v>
          </cell>
          <cell r="C345">
            <v>4846</v>
          </cell>
          <cell r="D345">
            <v>4846</v>
          </cell>
          <cell r="E345" t="str">
            <v>dist</v>
          </cell>
          <cell r="F345">
            <v>4764</v>
          </cell>
          <cell r="G345">
            <v>4515</v>
          </cell>
          <cell r="H345" t="str">
            <v>labo</v>
          </cell>
          <cell r="I345">
            <v>3763.08</v>
          </cell>
          <cell r="J345">
            <v>3573</v>
          </cell>
          <cell r="K345" t="str">
            <v>ind_pr</v>
          </cell>
          <cell r="L345">
            <v>4211.45</v>
          </cell>
          <cell r="M345">
            <v>0</v>
          </cell>
          <cell r="N345">
            <v>0</v>
          </cell>
          <cell r="O345" t="e">
            <v>#N/A</v>
          </cell>
          <cell r="P345" t="e">
            <v>#N/A</v>
          </cell>
        </row>
        <row r="346">
          <cell r="A346" t="str">
            <v>Sao Joao do Ivai</v>
          </cell>
          <cell r="B346" t="str">
            <v>var_ld</v>
          </cell>
          <cell r="C346">
            <v>4750</v>
          </cell>
          <cell r="D346">
            <v>4527</v>
          </cell>
          <cell r="E346" t="str">
            <v>dist</v>
          </cell>
          <cell r="F346">
            <v>4764</v>
          </cell>
          <cell r="G346">
            <v>4515</v>
          </cell>
          <cell r="H346" t="str">
            <v>labo</v>
          </cell>
          <cell r="I346">
            <v>3763.08</v>
          </cell>
          <cell r="J346">
            <v>3573</v>
          </cell>
          <cell r="K346" t="str">
            <v>ind_pr</v>
          </cell>
          <cell r="L346">
            <v>4211.45</v>
          </cell>
          <cell r="M346">
            <v>0</v>
          </cell>
          <cell r="N346">
            <v>0</v>
          </cell>
          <cell r="O346" t="e">
            <v>#N/A</v>
          </cell>
          <cell r="P346" t="e">
            <v>#N/A</v>
          </cell>
        </row>
        <row r="347">
          <cell r="A347" t="str">
            <v>sao Joao do Triunfo</v>
          </cell>
          <cell r="B347" t="str">
            <v>var_pr</v>
          </cell>
          <cell r="C347">
            <v>4729.62</v>
          </cell>
          <cell r="D347">
            <v>4729.62</v>
          </cell>
          <cell r="E347" t="str">
            <v>dist</v>
          </cell>
          <cell r="F347">
            <v>4764</v>
          </cell>
          <cell r="G347">
            <v>4515</v>
          </cell>
          <cell r="H347" t="str">
            <v>labo</v>
          </cell>
          <cell r="I347">
            <v>3763.08</v>
          </cell>
          <cell r="J347">
            <v>3573</v>
          </cell>
          <cell r="K347" t="str">
            <v>ind_pr</v>
          </cell>
          <cell r="L347">
            <v>4211.45</v>
          </cell>
          <cell r="M347">
            <v>0</v>
          </cell>
          <cell r="N347">
            <v>0</v>
          </cell>
          <cell r="O347" t="e">
            <v>#N/A</v>
          </cell>
          <cell r="P347" t="e">
            <v>#N/A</v>
          </cell>
        </row>
        <row r="348">
          <cell r="A348" t="str">
            <v>sao Jorge do Ivai</v>
          </cell>
          <cell r="B348" t="str">
            <v>var_pr</v>
          </cell>
          <cell r="C348">
            <v>4729.62</v>
          </cell>
          <cell r="D348">
            <v>4729.62</v>
          </cell>
          <cell r="E348" t="str">
            <v>dist</v>
          </cell>
          <cell r="F348">
            <v>4764</v>
          </cell>
          <cell r="G348">
            <v>4515</v>
          </cell>
          <cell r="H348" t="str">
            <v>labo</v>
          </cell>
          <cell r="I348">
            <v>3763.08</v>
          </cell>
          <cell r="J348">
            <v>3573</v>
          </cell>
          <cell r="K348" t="str">
            <v>ind_pr</v>
          </cell>
          <cell r="L348">
            <v>4211.45</v>
          </cell>
          <cell r="M348">
            <v>0</v>
          </cell>
          <cell r="N348" t="str">
            <v>hosp_mg</v>
          </cell>
          <cell r="O348">
            <v>3888.38</v>
          </cell>
          <cell r="P348">
            <v>0</v>
          </cell>
        </row>
        <row r="349">
          <cell r="A349" t="str">
            <v>Sao Jorge do Oeste</v>
          </cell>
          <cell r="B349" t="str">
            <v>var_pr</v>
          </cell>
          <cell r="C349">
            <v>4729.62</v>
          </cell>
          <cell r="D349">
            <v>4729.62</v>
          </cell>
          <cell r="E349" t="str">
            <v>dist</v>
          </cell>
          <cell r="F349">
            <v>4764</v>
          </cell>
          <cell r="G349">
            <v>4515</v>
          </cell>
          <cell r="H349" t="str">
            <v>labo</v>
          </cell>
          <cell r="I349">
            <v>3763.08</v>
          </cell>
          <cell r="J349">
            <v>3573</v>
          </cell>
          <cell r="K349" t="str">
            <v>ind_pr</v>
          </cell>
          <cell r="L349">
            <v>4211.45</v>
          </cell>
          <cell r="M349">
            <v>0</v>
          </cell>
          <cell r="N349" t="str">
            <v>hosp_sudpr</v>
          </cell>
          <cell r="O349">
            <v>1760</v>
          </cell>
          <cell r="P349">
            <v>0</v>
          </cell>
        </row>
        <row r="350">
          <cell r="A350" t="str">
            <v>Sao Jorge do Patrocinio</v>
          </cell>
          <cell r="B350" t="str">
            <v>var_pr</v>
          </cell>
          <cell r="C350">
            <v>4729.62</v>
          </cell>
          <cell r="D350">
            <v>4729.62</v>
          </cell>
          <cell r="E350" t="str">
            <v>dist</v>
          </cell>
          <cell r="F350">
            <v>4764</v>
          </cell>
          <cell r="G350">
            <v>4515</v>
          </cell>
          <cell r="H350" t="str">
            <v>labo</v>
          </cell>
          <cell r="I350">
            <v>3763.08</v>
          </cell>
          <cell r="J350">
            <v>3573</v>
          </cell>
          <cell r="K350" t="str">
            <v>ind_pr</v>
          </cell>
          <cell r="L350">
            <v>4211.45</v>
          </cell>
          <cell r="M350">
            <v>0</v>
          </cell>
          <cell r="N350" t="str">
            <v>hosp_umu</v>
          </cell>
          <cell r="O350">
            <v>2428.5500000000002</v>
          </cell>
          <cell r="P350">
            <v>0</v>
          </cell>
        </row>
        <row r="351">
          <cell r="A351" t="str">
            <v>Sao Jose da Boa Vista</v>
          </cell>
          <cell r="B351" t="str">
            <v>var_sto</v>
          </cell>
          <cell r="C351">
            <v>5030</v>
          </cell>
          <cell r="D351">
            <v>5030</v>
          </cell>
          <cell r="E351" t="str">
            <v>dist</v>
          </cell>
          <cell r="F351">
            <v>4764</v>
          </cell>
          <cell r="G351">
            <v>4515</v>
          </cell>
          <cell r="H351" t="str">
            <v>labo</v>
          </cell>
          <cell r="I351">
            <v>3763.08</v>
          </cell>
          <cell r="J351">
            <v>3573</v>
          </cell>
          <cell r="K351" t="str">
            <v>ind_pr</v>
          </cell>
          <cell r="L351">
            <v>4211.45</v>
          </cell>
          <cell r="M351">
            <v>0</v>
          </cell>
          <cell r="N351" t="str">
            <v>hosp_nor</v>
          </cell>
          <cell r="O351">
            <v>1760</v>
          </cell>
          <cell r="P351">
            <v>0</v>
          </cell>
        </row>
        <row r="352">
          <cell r="A352" t="str">
            <v>Sao Jose das Palmeiras</v>
          </cell>
          <cell r="B352" t="str">
            <v>var_op</v>
          </cell>
          <cell r="C352">
            <v>4653</v>
          </cell>
          <cell r="D352">
            <v>4452</v>
          </cell>
          <cell r="E352" t="str">
            <v>dist</v>
          </cell>
          <cell r="F352">
            <v>4764</v>
          </cell>
          <cell r="G352">
            <v>4515</v>
          </cell>
          <cell r="H352" t="str">
            <v>labo</v>
          </cell>
          <cell r="I352">
            <v>3763.08</v>
          </cell>
          <cell r="J352">
            <v>3573</v>
          </cell>
          <cell r="K352" t="str">
            <v>ind_pr</v>
          </cell>
          <cell r="L352">
            <v>4211.45</v>
          </cell>
          <cell r="M352">
            <v>0</v>
          </cell>
          <cell r="N352" t="str">
            <v>hosp_pr</v>
          </cell>
          <cell r="O352">
            <v>4567</v>
          </cell>
          <cell r="P352">
            <v>0</v>
          </cell>
        </row>
        <row r="353">
          <cell r="A353" t="str">
            <v>Sao Jose dos Pinhais</v>
          </cell>
          <cell r="B353" t="str">
            <v>var_pr</v>
          </cell>
          <cell r="C353">
            <v>4729.62</v>
          </cell>
          <cell r="D353">
            <v>4729.62</v>
          </cell>
          <cell r="E353" t="str">
            <v>dist</v>
          </cell>
          <cell r="F353">
            <v>4764</v>
          </cell>
          <cell r="G353">
            <v>4515</v>
          </cell>
          <cell r="H353" t="str">
            <v>labo</v>
          </cell>
          <cell r="I353">
            <v>3763.08</v>
          </cell>
          <cell r="J353">
            <v>3573</v>
          </cell>
          <cell r="K353" t="str">
            <v>ind_pr</v>
          </cell>
          <cell r="L353">
            <v>4211.45</v>
          </cell>
          <cell r="M353">
            <v>0</v>
          </cell>
          <cell r="N353" t="str">
            <v>hosp_pr</v>
          </cell>
          <cell r="O353">
            <v>4567</v>
          </cell>
          <cell r="P353">
            <v>0</v>
          </cell>
        </row>
        <row r="354">
          <cell r="A354" t="str">
            <v>Sao Manoel do Parana</v>
          </cell>
          <cell r="B354" t="str">
            <v>var_pr</v>
          </cell>
          <cell r="C354">
            <v>4729.62</v>
          </cell>
          <cell r="D354">
            <v>4729.62</v>
          </cell>
          <cell r="E354" t="str">
            <v>dist</v>
          </cell>
          <cell r="F354">
            <v>4764</v>
          </cell>
          <cell r="G354">
            <v>4515</v>
          </cell>
          <cell r="H354" t="str">
            <v>labo</v>
          </cell>
          <cell r="I354">
            <v>3763.08</v>
          </cell>
          <cell r="J354">
            <v>3573</v>
          </cell>
          <cell r="K354" t="str">
            <v>ind_pr</v>
          </cell>
          <cell r="L354">
            <v>4211.45</v>
          </cell>
          <cell r="M354">
            <v>0</v>
          </cell>
          <cell r="N354" t="str">
            <v>hosp_cia</v>
          </cell>
          <cell r="O354">
            <v>4003.87</v>
          </cell>
          <cell r="P354">
            <v>0</v>
          </cell>
        </row>
        <row r="355">
          <cell r="A355" t="str">
            <v>Sao Mateus do Sul</v>
          </cell>
          <cell r="B355" t="str">
            <v>var_pr</v>
          </cell>
          <cell r="C355">
            <v>4729.62</v>
          </cell>
          <cell r="D355">
            <v>4729.62</v>
          </cell>
          <cell r="E355" t="str">
            <v>dist</v>
          </cell>
          <cell r="F355">
            <v>4764</v>
          </cell>
          <cell r="G355">
            <v>4515</v>
          </cell>
          <cell r="H355" t="str">
            <v>labo</v>
          </cell>
          <cell r="I355">
            <v>3763.08</v>
          </cell>
          <cell r="J355">
            <v>3573</v>
          </cell>
          <cell r="K355" t="str">
            <v>ind_pr</v>
          </cell>
          <cell r="L355">
            <v>4211.45</v>
          </cell>
          <cell r="M355">
            <v>0</v>
          </cell>
          <cell r="N355">
            <v>0</v>
          </cell>
          <cell r="O355" t="e">
            <v>#N/A</v>
          </cell>
          <cell r="P355" t="e">
            <v>#N/A</v>
          </cell>
        </row>
        <row r="356">
          <cell r="A356" t="str">
            <v>Sao Miguel do Iguaçu</v>
          </cell>
          <cell r="B356" t="str">
            <v>var_op</v>
          </cell>
          <cell r="C356">
            <v>4653</v>
          </cell>
          <cell r="D356">
            <v>4452</v>
          </cell>
          <cell r="E356" t="str">
            <v>dist</v>
          </cell>
          <cell r="F356">
            <v>4764</v>
          </cell>
          <cell r="G356">
            <v>4515</v>
          </cell>
          <cell r="H356" t="str">
            <v>labo</v>
          </cell>
          <cell r="I356">
            <v>3763.08</v>
          </cell>
          <cell r="J356">
            <v>3573</v>
          </cell>
          <cell r="K356" t="str">
            <v>ind_pr</v>
          </cell>
          <cell r="L356">
            <v>4211.45</v>
          </cell>
          <cell r="M356">
            <v>0</v>
          </cell>
          <cell r="N356" t="str">
            <v>hosp_pr</v>
          </cell>
          <cell r="O356">
            <v>4567</v>
          </cell>
          <cell r="P356">
            <v>0</v>
          </cell>
        </row>
        <row r="357">
          <cell r="A357" t="str">
            <v>Sao Pedro do Iguaçu</v>
          </cell>
          <cell r="B357" t="str">
            <v>var_op</v>
          </cell>
          <cell r="C357">
            <v>4653</v>
          </cell>
          <cell r="D357">
            <v>4452</v>
          </cell>
          <cell r="E357" t="str">
            <v>dist</v>
          </cell>
          <cell r="F357">
            <v>4764</v>
          </cell>
          <cell r="G357">
            <v>4515</v>
          </cell>
          <cell r="H357" t="str">
            <v>labo</v>
          </cell>
          <cell r="I357">
            <v>3763.08</v>
          </cell>
          <cell r="J357">
            <v>3573</v>
          </cell>
          <cell r="K357" t="str">
            <v>ind_pr</v>
          </cell>
          <cell r="L357">
            <v>4211.45</v>
          </cell>
          <cell r="M357">
            <v>0</v>
          </cell>
          <cell r="N357">
            <v>0</v>
          </cell>
          <cell r="O357" t="e">
            <v>#N/A</v>
          </cell>
          <cell r="P357" t="e">
            <v>#N/A</v>
          </cell>
        </row>
        <row r="358">
          <cell r="A358" t="str">
            <v>Sao Pedro do Ivai</v>
          </cell>
          <cell r="B358" t="str">
            <v>var_ld</v>
          </cell>
          <cell r="C358">
            <v>4750</v>
          </cell>
          <cell r="D358">
            <v>4527</v>
          </cell>
          <cell r="E358" t="str">
            <v>dist</v>
          </cell>
          <cell r="F358">
            <v>4764</v>
          </cell>
          <cell r="G358">
            <v>4515</v>
          </cell>
          <cell r="H358" t="str">
            <v>labo</v>
          </cell>
          <cell r="I358">
            <v>3763.08</v>
          </cell>
          <cell r="J358">
            <v>3573</v>
          </cell>
          <cell r="K358" t="str">
            <v>ind_pr</v>
          </cell>
          <cell r="L358">
            <v>4211.45</v>
          </cell>
          <cell r="M358">
            <v>0</v>
          </cell>
          <cell r="N358">
            <v>0</v>
          </cell>
          <cell r="O358" t="e">
            <v>#N/A</v>
          </cell>
          <cell r="P358" t="e">
            <v>#N/A</v>
          </cell>
        </row>
        <row r="359">
          <cell r="A359" t="str">
            <v>Sao pedro do Parana</v>
          </cell>
          <cell r="B359" t="str">
            <v>var_par</v>
          </cell>
          <cell r="C359">
            <v>4846</v>
          </cell>
          <cell r="D359">
            <v>4846</v>
          </cell>
          <cell r="E359" t="str">
            <v>dist</v>
          </cell>
          <cell r="F359">
            <v>4764</v>
          </cell>
          <cell r="G359">
            <v>4515</v>
          </cell>
          <cell r="H359" t="str">
            <v>labo</v>
          </cell>
          <cell r="I359">
            <v>3763.08</v>
          </cell>
          <cell r="J359">
            <v>3573</v>
          </cell>
          <cell r="K359" t="str">
            <v>ind_pr</v>
          </cell>
          <cell r="L359">
            <v>4211.45</v>
          </cell>
          <cell r="M359">
            <v>0</v>
          </cell>
          <cell r="N359">
            <v>0</v>
          </cell>
          <cell r="O359" t="e">
            <v>#N/A</v>
          </cell>
          <cell r="P359" t="e">
            <v>#N/A</v>
          </cell>
        </row>
        <row r="360">
          <cell r="A360" t="str">
            <v>Sao Sebastiao da Amoreira</v>
          </cell>
          <cell r="B360" t="str">
            <v>var_pr</v>
          </cell>
          <cell r="C360">
            <v>4729.62</v>
          </cell>
          <cell r="D360">
            <v>4729.62</v>
          </cell>
          <cell r="E360" t="str">
            <v>dist</v>
          </cell>
          <cell r="F360">
            <v>4764</v>
          </cell>
          <cell r="G360">
            <v>4515</v>
          </cell>
          <cell r="H360" t="str">
            <v>labo</v>
          </cell>
          <cell r="I360">
            <v>3763.08</v>
          </cell>
          <cell r="J360">
            <v>3573</v>
          </cell>
          <cell r="K360" t="str">
            <v>ind_pr</v>
          </cell>
          <cell r="L360">
            <v>4211.45</v>
          </cell>
          <cell r="M360">
            <v>0</v>
          </cell>
          <cell r="N360">
            <v>0</v>
          </cell>
          <cell r="O360" t="e">
            <v>#N/A</v>
          </cell>
          <cell r="P360" t="e">
            <v>#N/A</v>
          </cell>
        </row>
        <row r="361">
          <cell r="A361" t="str">
            <v>Sao Tome</v>
          </cell>
          <cell r="B361" t="str">
            <v>var_pr</v>
          </cell>
          <cell r="C361">
            <v>4729.62</v>
          </cell>
          <cell r="D361">
            <v>4729.62</v>
          </cell>
          <cell r="E361" t="str">
            <v>dist</v>
          </cell>
          <cell r="F361">
            <v>4764</v>
          </cell>
          <cell r="G361">
            <v>4515</v>
          </cell>
          <cell r="H361" t="str">
            <v>labo</v>
          </cell>
          <cell r="I361">
            <v>3763.08</v>
          </cell>
          <cell r="J361">
            <v>3573</v>
          </cell>
          <cell r="K361" t="str">
            <v>ind_pr</v>
          </cell>
          <cell r="L361">
            <v>4211.45</v>
          </cell>
          <cell r="M361">
            <v>0</v>
          </cell>
          <cell r="N361" t="str">
            <v>hosp_cia</v>
          </cell>
          <cell r="O361">
            <v>4003.87</v>
          </cell>
          <cell r="P361">
            <v>0</v>
          </cell>
        </row>
        <row r="362">
          <cell r="A362" t="str">
            <v>Sapopema</v>
          </cell>
          <cell r="B362" t="str">
            <v>var_pr</v>
          </cell>
          <cell r="C362">
            <v>4729.62</v>
          </cell>
          <cell r="D362">
            <v>4729.62</v>
          </cell>
          <cell r="E362" t="str">
            <v>dist</v>
          </cell>
          <cell r="F362">
            <v>4764</v>
          </cell>
          <cell r="G362">
            <v>4515</v>
          </cell>
          <cell r="H362" t="str">
            <v>labo</v>
          </cell>
          <cell r="I362">
            <v>3763.08</v>
          </cell>
          <cell r="J362">
            <v>3573</v>
          </cell>
          <cell r="K362" t="str">
            <v>ind_pr</v>
          </cell>
          <cell r="L362">
            <v>4211.45</v>
          </cell>
          <cell r="M362">
            <v>0</v>
          </cell>
          <cell r="N362">
            <v>0</v>
          </cell>
          <cell r="O362" t="e">
            <v>#N/A</v>
          </cell>
          <cell r="P362" t="e">
            <v>#N/A</v>
          </cell>
        </row>
        <row r="363">
          <cell r="A363" t="str">
            <v>Sarandi</v>
          </cell>
          <cell r="B363" t="str">
            <v>var_pr</v>
          </cell>
          <cell r="C363">
            <v>4729.62</v>
          </cell>
          <cell r="D363">
            <v>4729.62</v>
          </cell>
          <cell r="E363" t="str">
            <v>dist</v>
          </cell>
          <cell r="F363">
            <v>4764</v>
          </cell>
          <cell r="G363">
            <v>4515</v>
          </cell>
          <cell r="H363" t="str">
            <v>labo</v>
          </cell>
          <cell r="I363">
            <v>3763.08</v>
          </cell>
          <cell r="J363">
            <v>3573</v>
          </cell>
          <cell r="K363" t="str">
            <v>ind_pr</v>
          </cell>
          <cell r="L363">
            <v>4211.45</v>
          </cell>
          <cell r="M363">
            <v>0</v>
          </cell>
          <cell r="N363" t="str">
            <v>hosp_mg</v>
          </cell>
          <cell r="O363">
            <v>3888.38</v>
          </cell>
          <cell r="P363">
            <v>0</v>
          </cell>
        </row>
        <row r="364">
          <cell r="A364" t="str">
            <v>Saudade do Iguaçu</v>
          </cell>
          <cell r="B364" t="str">
            <v>var_pr</v>
          </cell>
          <cell r="C364">
            <v>4729.62</v>
          </cell>
          <cell r="D364">
            <v>4729.62</v>
          </cell>
          <cell r="E364" t="str">
            <v>dist</v>
          </cell>
          <cell r="F364">
            <v>4764</v>
          </cell>
          <cell r="G364">
            <v>4515</v>
          </cell>
          <cell r="H364" t="str">
            <v>labo</v>
          </cell>
          <cell r="I364">
            <v>3763.08</v>
          </cell>
          <cell r="J364">
            <v>3573</v>
          </cell>
          <cell r="K364" t="str">
            <v>ind_pr</v>
          </cell>
          <cell r="L364">
            <v>4211.45</v>
          </cell>
          <cell r="M364">
            <v>0</v>
          </cell>
          <cell r="N364" t="str">
            <v>hosp_pb</v>
          </cell>
          <cell r="O364">
            <v>1760</v>
          </cell>
          <cell r="P364">
            <v>0</v>
          </cell>
        </row>
        <row r="365">
          <cell r="A365" t="str">
            <v>Senges</v>
          </cell>
          <cell r="B365" t="str">
            <v>var_pr</v>
          </cell>
          <cell r="C365">
            <v>4729.62</v>
          </cell>
          <cell r="D365">
            <v>4729.62</v>
          </cell>
          <cell r="E365" t="str">
            <v>dist</v>
          </cell>
          <cell r="F365">
            <v>4764</v>
          </cell>
          <cell r="G365">
            <v>4515</v>
          </cell>
          <cell r="H365" t="str">
            <v>labo</v>
          </cell>
          <cell r="I365">
            <v>3763.08</v>
          </cell>
          <cell r="J365">
            <v>3573</v>
          </cell>
          <cell r="K365" t="str">
            <v>ind_pr</v>
          </cell>
          <cell r="L365">
            <v>4211.45</v>
          </cell>
          <cell r="M365">
            <v>0</v>
          </cell>
          <cell r="N365">
            <v>0</v>
          </cell>
          <cell r="O365" t="e">
            <v>#N/A</v>
          </cell>
          <cell r="P365" t="e">
            <v>#N/A</v>
          </cell>
        </row>
        <row r="366">
          <cell r="A366" t="str">
            <v>Serranopolis do Iguaçu</v>
          </cell>
          <cell r="B366" t="str">
            <v>var_op</v>
          </cell>
          <cell r="C366">
            <v>4653</v>
          </cell>
          <cell r="D366">
            <v>4452</v>
          </cell>
          <cell r="E366" t="str">
            <v>dist</v>
          </cell>
          <cell r="F366">
            <v>4764</v>
          </cell>
          <cell r="G366">
            <v>4515</v>
          </cell>
          <cell r="H366" t="str">
            <v>labo</v>
          </cell>
          <cell r="I366">
            <v>3763.08</v>
          </cell>
          <cell r="J366">
            <v>3573</v>
          </cell>
          <cell r="K366" t="str">
            <v>ind_pr</v>
          </cell>
          <cell r="L366">
            <v>4211.45</v>
          </cell>
          <cell r="M366">
            <v>0</v>
          </cell>
          <cell r="N366">
            <v>0</v>
          </cell>
          <cell r="O366" t="e">
            <v>#N/A</v>
          </cell>
          <cell r="P366" t="e">
            <v>#N/A</v>
          </cell>
        </row>
        <row r="367">
          <cell r="A367" t="str">
            <v>Sertaneja</v>
          </cell>
          <cell r="B367" t="str">
            <v>var_ld</v>
          </cell>
          <cell r="C367">
            <v>4750</v>
          </cell>
          <cell r="D367">
            <v>4527</v>
          </cell>
          <cell r="E367" t="str">
            <v>dist</v>
          </cell>
          <cell r="F367">
            <v>4764</v>
          </cell>
          <cell r="G367">
            <v>4515</v>
          </cell>
          <cell r="H367" t="str">
            <v>labo</v>
          </cell>
          <cell r="I367">
            <v>3763.08</v>
          </cell>
          <cell r="J367">
            <v>3573</v>
          </cell>
          <cell r="K367" t="str">
            <v>ind_pr</v>
          </cell>
          <cell r="L367">
            <v>4211.45</v>
          </cell>
          <cell r="M367">
            <v>0</v>
          </cell>
          <cell r="N367">
            <v>0</v>
          </cell>
          <cell r="O367" t="e">
            <v>#N/A</v>
          </cell>
          <cell r="P367" t="e">
            <v>#N/A</v>
          </cell>
        </row>
        <row r="368">
          <cell r="A368" t="str">
            <v>Sertanopolis</v>
          </cell>
          <cell r="B368" t="str">
            <v>var_ld</v>
          </cell>
          <cell r="C368">
            <v>4750</v>
          </cell>
          <cell r="D368">
            <v>4527</v>
          </cell>
          <cell r="E368" t="str">
            <v>dist</v>
          </cell>
          <cell r="F368">
            <v>4764</v>
          </cell>
          <cell r="G368">
            <v>4515</v>
          </cell>
          <cell r="H368" t="str">
            <v>labo</v>
          </cell>
          <cell r="I368">
            <v>3763.08</v>
          </cell>
          <cell r="J368">
            <v>3573</v>
          </cell>
          <cell r="K368" t="str">
            <v>ind_nor</v>
          </cell>
          <cell r="L368">
            <v>3446</v>
          </cell>
          <cell r="M368">
            <v>0</v>
          </cell>
          <cell r="N368">
            <v>0</v>
          </cell>
          <cell r="O368" t="e">
            <v>#N/A</v>
          </cell>
          <cell r="P368" t="e">
            <v>#N/A</v>
          </cell>
        </row>
        <row r="369">
          <cell r="A369" t="str">
            <v>Siqueira Campos</v>
          </cell>
          <cell r="B369" t="str">
            <v>var_sto</v>
          </cell>
          <cell r="C369">
            <v>5030</v>
          </cell>
          <cell r="D369">
            <v>5030</v>
          </cell>
          <cell r="E369" t="str">
            <v>dist</v>
          </cell>
          <cell r="F369">
            <v>4764</v>
          </cell>
          <cell r="G369">
            <v>4515</v>
          </cell>
          <cell r="H369" t="str">
            <v>labo</v>
          </cell>
          <cell r="I369">
            <v>3763.08</v>
          </cell>
          <cell r="J369">
            <v>3573</v>
          </cell>
          <cell r="K369" t="str">
            <v>ind_pr</v>
          </cell>
          <cell r="L369">
            <v>4211.45</v>
          </cell>
          <cell r="M369">
            <v>0</v>
          </cell>
          <cell r="N369" t="str">
            <v>hosp_nor</v>
          </cell>
          <cell r="O369">
            <v>1760</v>
          </cell>
          <cell r="P369">
            <v>0</v>
          </cell>
        </row>
        <row r="370">
          <cell r="A370" t="str">
            <v>Sulina</v>
          </cell>
          <cell r="B370" t="str">
            <v>var_pr</v>
          </cell>
          <cell r="C370">
            <v>4729.62</v>
          </cell>
          <cell r="D370">
            <v>4729.62</v>
          </cell>
          <cell r="E370" t="str">
            <v>dist</v>
          </cell>
          <cell r="F370">
            <v>4764</v>
          </cell>
          <cell r="G370">
            <v>4515</v>
          </cell>
          <cell r="H370" t="str">
            <v>labo</v>
          </cell>
          <cell r="I370">
            <v>3763.08</v>
          </cell>
          <cell r="J370">
            <v>3573</v>
          </cell>
          <cell r="K370" t="str">
            <v>ind_pr</v>
          </cell>
          <cell r="L370">
            <v>4211.45</v>
          </cell>
          <cell r="M370">
            <v>0</v>
          </cell>
          <cell r="N370" t="str">
            <v>hosp_pb</v>
          </cell>
          <cell r="O370">
            <v>1760</v>
          </cell>
          <cell r="P370">
            <v>0</v>
          </cell>
        </row>
        <row r="371">
          <cell r="A371" t="str">
            <v>Tamarana</v>
          </cell>
          <cell r="B371" t="str">
            <v>var_ld</v>
          </cell>
          <cell r="C371">
            <v>4750</v>
          </cell>
          <cell r="D371">
            <v>4527</v>
          </cell>
          <cell r="E371" t="str">
            <v>dist</v>
          </cell>
          <cell r="F371">
            <v>4764</v>
          </cell>
          <cell r="G371">
            <v>4515</v>
          </cell>
          <cell r="H371" t="str">
            <v>labo</v>
          </cell>
          <cell r="I371">
            <v>3763.08</v>
          </cell>
          <cell r="J371">
            <v>3573</v>
          </cell>
          <cell r="K371" t="str">
            <v>ind_pr</v>
          </cell>
          <cell r="L371">
            <v>4211.45</v>
          </cell>
          <cell r="M371">
            <v>0</v>
          </cell>
          <cell r="N371">
            <v>0</v>
          </cell>
          <cell r="O371" t="e">
            <v>#N/A</v>
          </cell>
          <cell r="P371" t="e">
            <v>#N/A</v>
          </cell>
        </row>
        <row r="372">
          <cell r="A372" t="str">
            <v>Tamboara</v>
          </cell>
          <cell r="B372" t="str">
            <v>var_par</v>
          </cell>
          <cell r="C372">
            <v>4846</v>
          </cell>
          <cell r="D372">
            <v>4846</v>
          </cell>
          <cell r="E372" t="str">
            <v>dist</v>
          </cell>
          <cell r="F372">
            <v>4764</v>
          </cell>
          <cell r="G372">
            <v>4515</v>
          </cell>
          <cell r="H372" t="str">
            <v>labo</v>
          </cell>
          <cell r="I372">
            <v>3763.08</v>
          </cell>
          <cell r="J372">
            <v>3573</v>
          </cell>
          <cell r="K372" t="str">
            <v>ind_pr</v>
          </cell>
          <cell r="L372">
            <v>4211.45</v>
          </cell>
          <cell r="M372">
            <v>0</v>
          </cell>
          <cell r="N372">
            <v>0</v>
          </cell>
          <cell r="O372" t="e">
            <v>#N/A</v>
          </cell>
          <cell r="P372" t="e">
            <v>#N/A</v>
          </cell>
        </row>
        <row r="373">
          <cell r="A373" t="str">
            <v>Tapejara</v>
          </cell>
          <cell r="B373" t="str">
            <v>var_pr</v>
          </cell>
          <cell r="C373">
            <v>4729.62</v>
          </cell>
          <cell r="D373">
            <v>4729.62</v>
          </cell>
          <cell r="E373" t="str">
            <v>dist</v>
          </cell>
          <cell r="F373">
            <v>4764</v>
          </cell>
          <cell r="G373">
            <v>4515</v>
          </cell>
          <cell r="H373" t="str">
            <v>labo</v>
          </cell>
          <cell r="I373">
            <v>3763.08</v>
          </cell>
          <cell r="J373">
            <v>3573</v>
          </cell>
          <cell r="K373" t="str">
            <v>ind_pr</v>
          </cell>
          <cell r="L373">
            <v>4211.45</v>
          </cell>
          <cell r="M373">
            <v>0</v>
          </cell>
          <cell r="N373" t="str">
            <v>hosp_cia</v>
          </cell>
          <cell r="O373">
            <v>4003.87</v>
          </cell>
          <cell r="P373">
            <v>0</v>
          </cell>
        </row>
        <row r="374">
          <cell r="A374" t="str">
            <v>Tapira</v>
          </cell>
          <cell r="B374" t="str">
            <v>var_pr</v>
          </cell>
          <cell r="C374">
            <v>4729.62</v>
          </cell>
          <cell r="D374">
            <v>4729.62</v>
          </cell>
          <cell r="E374" t="str">
            <v>dist</v>
          </cell>
          <cell r="F374">
            <v>4764</v>
          </cell>
          <cell r="G374">
            <v>4515</v>
          </cell>
          <cell r="H374" t="str">
            <v>labo</v>
          </cell>
          <cell r="I374">
            <v>3763.08</v>
          </cell>
          <cell r="J374">
            <v>3573</v>
          </cell>
          <cell r="K374" t="str">
            <v>ind_pr</v>
          </cell>
          <cell r="L374">
            <v>4211.45</v>
          </cell>
          <cell r="M374">
            <v>0</v>
          </cell>
          <cell r="N374" t="str">
            <v>hosp_umu</v>
          </cell>
          <cell r="O374">
            <v>2428.5500000000002</v>
          </cell>
          <cell r="P374">
            <v>0</v>
          </cell>
        </row>
        <row r="375">
          <cell r="A375" t="str">
            <v>Teixeira Soares</v>
          </cell>
          <cell r="B375" t="str">
            <v>var_pr</v>
          </cell>
          <cell r="C375">
            <v>4729.62</v>
          </cell>
          <cell r="D375">
            <v>4729.62</v>
          </cell>
          <cell r="E375" t="str">
            <v>dist</v>
          </cell>
          <cell r="F375">
            <v>4764</v>
          </cell>
          <cell r="G375">
            <v>4515</v>
          </cell>
          <cell r="H375" t="str">
            <v>labo</v>
          </cell>
          <cell r="I375">
            <v>3763.08</v>
          </cell>
          <cell r="J375">
            <v>3573</v>
          </cell>
          <cell r="K375" t="str">
            <v>ind_pr</v>
          </cell>
          <cell r="L375">
            <v>4211.45</v>
          </cell>
          <cell r="M375">
            <v>0</v>
          </cell>
          <cell r="N375">
            <v>0</v>
          </cell>
          <cell r="O375" t="e">
            <v>#N/A</v>
          </cell>
          <cell r="P375" t="e">
            <v>#N/A</v>
          </cell>
        </row>
        <row r="376">
          <cell r="A376" t="str">
            <v>Telemaco Borba</v>
          </cell>
          <cell r="B376" t="str">
            <v>var_pr</v>
          </cell>
          <cell r="C376">
            <v>4729.62</v>
          </cell>
          <cell r="D376">
            <v>4729.62</v>
          </cell>
          <cell r="E376" t="str">
            <v>dist</v>
          </cell>
          <cell r="F376">
            <v>4764</v>
          </cell>
          <cell r="G376">
            <v>4515</v>
          </cell>
          <cell r="H376" t="str">
            <v>labo</v>
          </cell>
          <cell r="I376">
            <v>3763.08</v>
          </cell>
          <cell r="J376">
            <v>3573</v>
          </cell>
          <cell r="K376" t="str">
            <v>ind_pr</v>
          </cell>
          <cell r="L376">
            <v>4211.45</v>
          </cell>
          <cell r="M376">
            <v>0</v>
          </cell>
          <cell r="N376" t="str">
            <v>hosp_pr</v>
          </cell>
          <cell r="O376">
            <v>4567</v>
          </cell>
          <cell r="P376">
            <v>0</v>
          </cell>
        </row>
        <row r="377">
          <cell r="A377" t="str">
            <v>Terra Boa</v>
          </cell>
          <cell r="B377" t="str">
            <v>var_pr</v>
          </cell>
          <cell r="C377">
            <v>4729.62</v>
          </cell>
          <cell r="D377">
            <v>4729.62</v>
          </cell>
          <cell r="E377" t="str">
            <v>dist</v>
          </cell>
          <cell r="F377">
            <v>4764</v>
          </cell>
          <cell r="G377">
            <v>4515</v>
          </cell>
          <cell r="H377" t="str">
            <v>labo</v>
          </cell>
          <cell r="I377">
            <v>3763.08</v>
          </cell>
          <cell r="J377">
            <v>3573</v>
          </cell>
          <cell r="K377" t="str">
            <v>ind_pr</v>
          </cell>
          <cell r="L377">
            <v>4211.45</v>
          </cell>
          <cell r="M377">
            <v>0</v>
          </cell>
          <cell r="N377" t="str">
            <v>hosp_cm</v>
          </cell>
          <cell r="O377">
            <v>4133.2</v>
          </cell>
          <cell r="P377">
            <v>0</v>
          </cell>
        </row>
        <row r="378">
          <cell r="A378" t="str">
            <v>Terra Rica</v>
          </cell>
          <cell r="B378" t="str">
            <v>var_par</v>
          </cell>
          <cell r="C378">
            <v>4846</v>
          </cell>
          <cell r="D378">
            <v>4846</v>
          </cell>
          <cell r="E378" t="str">
            <v>dist</v>
          </cell>
          <cell r="F378">
            <v>4764</v>
          </cell>
          <cell r="G378">
            <v>4515</v>
          </cell>
          <cell r="H378" t="str">
            <v>labo</v>
          </cell>
          <cell r="I378">
            <v>3763.08</v>
          </cell>
          <cell r="J378">
            <v>3573</v>
          </cell>
          <cell r="K378" t="str">
            <v>ind_pr</v>
          </cell>
          <cell r="L378">
            <v>4211.45</v>
          </cell>
          <cell r="M378">
            <v>0</v>
          </cell>
          <cell r="N378">
            <v>0</v>
          </cell>
          <cell r="O378" t="e">
            <v>#N/A</v>
          </cell>
          <cell r="P378" t="e">
            <v>#N/A</v>
          </cell>
        </row>
        <row r="379">
          <cell r="A379" t="str">
            <v>Terra Roxa</v>
          </cell>
          <cell r="B379" t="str">
            <v>var_op</v>
          </cell>
          <cell r="C379">
            <v>4653</v>
          </cell>
          <cell r="D379">
            <v>4452</v>
          </cell>
          <cell r="E379" t="str">
            <v>dist</v>
          </cell>
          <cell r="F379">
            <v>4764</v>
          </cell>
          <cell r="G379">
            <v>4515</v>
          </cell>
          <cell r="H379" t="str">
            <v>labo</v>
          </cell>
          <cell r="I379">
            <v>3763.08</v>
          </cell>
          <cell r="J379">
            <v>3573</v>
          </cell>
          <cell r="K379" t="str">
            <v>ind_pr</v>
          </cell>
          <cell r="L379">
            <v>4211.45</v>
          </cell>
          <cell r="M379">
            <v>0</v>
          </cell>
          <cell r="N379" t="str">
            <v>hosp_pr</v>
          </cell>
          <cell r="O379">
            <v>4567</v>
          </cell>
          <cell r="P379">
            <v>0</v>
          </cell>
        </row>
        <row r="380">
          <cell r="A380" t="str">
            <v>Tibagi</v>
          </cell>
          <cell r="B380" t="str">
            <v>var_pr</v>
          </cell>
          <cell r="C380">
            <v>4729.62</v>
          </cell>
          <cell r="D380">
            <v>4729.62</v>
          </cell>
          <cell r="E380" t="str">
            <v>dist</v>
          </cell>
          <cell r="F380">
            <v>4764</v>
          </cell>
          <cell r="G380">
            <v>4515</v>
          </cell>
          <cell r="H380" t="str">
            <v>labo</v>
          </cell>
          <cell r="I380">
            <v>3763.08</v>
          </cell>
          <cell r="J380">
            <v>3573</v>
          </cell>
          <cell r="K380" t="str">
            <v>ind_pr</v>
          </cell>
          <cell r="L380">
            <v>4211.45</v>
          </cell>
          <cell r="M380">
            <v>0</v>
          </cell>
          <cell r="N380" t="str">
            <v>hosp_pr</v>
          </cell>
          <cell r="O380">
            <v>4567</v>
          </cell>
          <cell r="P380">
            <v>0</v>
          </cell>
        </row>
        <row r="381">
          <cell r="A381" t="str">
            <v>Tijucas do Sul</v>
          </cell>
          <cell r="B381" t="str">
            <v>var_pr</v>
          </cell>
          <cell r="C381">
            <v>4729.62</v>
          </cell>
          <cell r="D381">
            <v>4729.62</v>
          </cell>
          <cell r="E381" t="str">
            <v>dist</v>
          </cell>
          <cell r="F381">
            <v>4764</v>
          </cell>
          <cell r="G381">
            <v>4515</v>
          </cell>
          <cell r="H381" t="str">
            <v>labo</v>
          </cell>
          <cell r="I381">
            <v>3763.08</v>
          </cell>
          <cell r="J381">
            <v>3573</v>
          </cell>
          <cell r="K381" t="str">
            <v>ind_pr</v>
          </cell>
          <cell r="L381">
            <v>4211.45</v>
          </cell>
          <cell r="M381">
            <v>0</v>
          </cell>
          <cell r="N381" t="str">
            <v>hosp_pr</v>
          </cell>
          <cell r="O381">
            <v>4567</v>
          </cell>
          <cell r="P381">
            <v>0</v>
          </cell>
        </row>
        <row r="382">
          <cell r="A382" t="str">
            <v>Toledo</v>
          </cell>
          <cell r="B382" t="str">
            <v>var_op</v>
          </cell>
          <cell r="C382">
            <v>4653</v>
          </cell>
          <cell r="D382">
            <v>4452</v>
          </cell>
          <cell r="E382" t="str">
            <v>dist</v>
          </cell>
          <cell r="F382">
            <v>4764</v>
          </cell>
          <cell r="G382">
            <v>4515</v>
          </cell>
          <cell r="H382" t="str">
            <v>labo</v>
          </cell>
          <cell r="I382">
            <v>3763.08</v>
          </cell>
          <cell r="J382">
            <v>3573</v>
          </cell>
          <cell r="K382" t="str">
            <v>ind_pr</v>
          </cell>
          <cell r="L382">
            <v>4211.45</v>
          </cell>
          <cell r="M382">
            <v>0</v>
          </cell>
          <cell r="N382" t="str">
            <v>hosp_pr</v>
          </cell>
          <cell r="O382">
            <v>4567</v>
          </cell>
          <cell r="P382">
            <v>0</v>
          </cell>
        </row>
        <row r="383">
          <cell r="A383" t="str">
            <v>Tomazina</v>
          </cell>
          <cell r="B383" t="str">
            <v>var_sto</v>
          </cell>
          <cell r="C383">
            <v>5030</v>
          </cell>
          <cell r="D383">
            <v>5030</v>
          </cell>
          <cell r="E383" t="str">
            <v>dist</v>
          </cell>
          <cell r="F383">
            <v>4764</v>
          </cell>
          <cell r="G383">
            <v>4515</v>
          </cell>
          <cell r="H383" t="str">
            <v>labo</v>
          </cell>
          <cell r="I383">
            <v>3763.08</v>
          </cell>
          <cell r="J383">
            <v>3573</v>
          </cell>
          <cell r="K383" t="str">
            <v>ind_pr</v>
          </cell>
          <cell r="L383">
            <v>4211.45</v>
          </cell>
          <cell r="M383">
            <v>0</v>
          </cell>
          <cell r="N383" t="str">
            <v>hosp_nor</v>
          </cell>
          <cell r="O383">
            <v>1760</v>
          </cell>
          <cell r="P383">
            <v>0</v>
          </cell>
        </row>
        <row r="384">
          <cell r="A384" t="str">
            <v>Tres Barras do Parana</v>
          </cell>
          <cell r="B384" t="str">
            <v>var_op</v>
          </cell>
          <cell r="C384">
            <v>4653</v>
          </cell>
          <cell r="D384">
            <v>4452</v>
          </cell>
          <cell r="E384" t="str">
            <v>dist</v>
          </cell>
          <cell r="F384">
            <v>4764</v>
          </cell>
          <cell r="G384">
            <v>4515</v>
          </cell>
          <cell r="H384" t="str">
            <v>labo</v>
          </cell>
          <cell r="I384">
            <v>3763.08</v>
          </cell>
          <cell r="J384">
            <v>3573</v>
          </cell>
          <cell r="K384" t="str">
            <v>ind_pr</v>
          </cell>
          <cell r="L384">
            <v>4211.45</v>
          </cell>
          <cell r="M384">
            <v>0</v>
          </cell>
          <cell r="N384">
            <v>0</v>
          </cell>
          <cell r="O384" t="e">
            <v>#N/A</v>
          </cell>
          <cell r="P384" t="e">
            <v>#N/A</v>
          </cell>
        </row>
        <row r="385">
          <cell r="A385" t="str">
            <v>Tunas do Parana</v>
          </cell>
          <cell r="B385" t="str">
            <v>var_pr</v>
          </cell>
          <cell r="C385">
            <v>4729.62</v>
          </cell>
          <cell r="D385">
            <v>4729.62</v>
          </cell>
          <cell r="E385" t="str">
            <v>dist</v>
          </cell>
          <cell r="F385">
            <v>4764</v>
          </cell>
          <cell r="G385">
            <v>4515</v>
          </cell>
          <cell r="H385" t="str">
            <v>labo</v>
          </cell>
          <cell r="I385">
            <v>3763.08</v>
          </cell>
          <cell r="J385">
            <v>3573</v>
          </cell>
          <cell r="K385" t="str">
            <v>ind_pr</v>
          </cell>
          <cell r="L385">
            <v>4211.45</v>
          </cell>
          <cell r="M385">
            <v>0</v>
          </cell>
          <cell r="N385">
            <v>0</v>
          </cell>
          <cell r="O385" t="e">
            <v>#N/A</v>
          </cell>
          <cell r="P385" t="e">
            <v>#N/A</v>
          </cell>
        </row>
        <row r="386">
          <cell r="A386" t="str">
            <v>Tuneiras do Oeste</v>
          </cell>
          <cell r="B386" t="str">
            <v>var_pr</v>
          </cell>
          <cell r="C386">
            <v>4729.62</v>
          </cell>
          <cell r="D386">
            <v>4729.62</v>
          </cell>
          <cell r="E386" t="str">
            <v>dist</v>
          </cell>
          <cell r="F386">
            <v>4764</v>
          </cell>
          <cell r="G386">
            <v>4515</v>
          </cell>
          <cell r="H386" t="str">
            <v>labo</v>
          </cell>
          <cell r="I386">
            <v>3763.08</v>
          </cell>
          <cell r="J386">
            <v>3573</v>
          </cell>
          <cell r="K386" t="str">
            <v>ind_pr</v>
          </cell>
          <cell r="L386">
            <v>4211.45</v>
          </cell>
          <cell r="M386">
            <v>0</v>
          </cell>
          <cell r="N386" t="str">
            <v>hosp_cia</v>
          </cell>
          <cell r="O386">
            <v>4003.87</v>
          </cell>
          <cell r="P386">
            <v>0</v>
          </cell>
        </row>
        <row r="387">
          <cell r="A387" t="str">
            <v>Tupassi</v>
          </cell>
          <cell r="B387" t="str">
            <v>var_op</v>
          </cell>
          <cell r="C387">
            <v>4653</v>
          </cell>
          <cell r="D387">
            <v>4452</v>
          </cell>
          <cell r="E387" t="str">
            <v>dist</v>
          </cell>
          <cell r="F387">
            <v>4764</v>
          </cell>
          <cell r="G387">
            <v>4515</v>
          </cell>
          <cell r="H387" t="str">
            <v>labo</v>
          </cell>
          <cell r="I387">
            <v>3763.08</v>
          </cell>
          <cell r="J387">
            <v>3573</v>
          </cell>
          <cell r="K387" t="str">
            <v>ind_pr</v>
          </cell>
          <cell r="L387">
            <v>4211.45</v>
          </cell>
          <cell r="M387">
            <v>0</v>
          </cell>
          <cell r="N387" t="str">
            <v>hosp_pr</v>
          </cell>
          <cell r="O387">
            <v>4567</v>
          </cell>
          <cell r="P387">
            <v>0</v>
          </cell>
        </row>
        <row r="388">
          <cell r="A388" t="str">
            <v>Turvo</v>
          </cell>
          <cell r="B388" t="str">
            <v>var_pr</v>
          </cell>
          <cell r="C388">
            <v>4729.62</v>
          </cell>
          <cell r="D388">
            <v>4729.62</v>
          </cell>
          <cell r="E388" t="str">
            <v>dist</v>
          </cell>
          <cell r="F388">
            <v>4764</v>
          </cell>
          <cell r="G388">
            <v>4515</v>
          </cell>
          <cell r="H388" t="str">
            <v>labo</v>
          </cell>
          <cell r="I388">
            <v>3763.08</v>
          </cell>
          <cell r="J388">
            <v>3573</v>
          </cell>
          <cell r="K388" t="str">
            <v>ind_pr</v>
          </cell>
          <cell r="L388">
            <v>4211.45</v>
          </cell>
          <cell r="M388">
            <v>0</v>
          </cell>
          <cell r="N388" t="str">
            <v>hosp_co</v>
          </cell>
          <cell r="O388">
            <v>3036.29</v>
          </cell>
          <cell r="P388">
            <v>0</v>
          </cell>
        </row>
        <row r="389">
          <cell r="A389" t="str">
            <v>Ubirata</v>
          </cell>
          <cell r="B389" t="str">
            <v>var_pr</v>
          </cell>
          <cell r="C389">
            <v>4729.62</v>
          </cell>
          <cell r="D389">
            <v>4729.62</v>
          </cell>
          <cell r="E389" t="str">
            <v>dist</v>
          </cell>
          <cell r="F389">
            <v>4764</v>
          </cell>
          <cell r="G389">
            <v>4515</v>
          </cell>
          <cell r="H389" t="str">
            <v>labo</v>
          </cell>
          <cell r="I389">
            <v>3763.08</v>
          </cell>
          <cell r="J389">
            <v>3573</v>
          </cell>
          <cell r="K389" t="str">
            <v>ind_pr</v>
          </cell>
          <cell r="L389">
            <v>4211.45</v>
          </cell>
          <cell r="M389">
            <v>0</v>
          </cell>
          <cell r="N389" t="str">
            <v>hosp_cm</v>
          </cell>
          <cell r="O389">
            <v>4133.2</v>
          </cell>
          <cell r="P389">
            <v>0</v>
          </cell>
        </row>
        <row r="390">
          <cell r="A390" t="str">
            <v>Umuarama</v>
          </cell>
          <cell r="B390" t="str">
            <v>var_pr</v>
          </cell>
          <cell r="C390">
            <v>4729.62</v>
          </cell>
          <cell r="D390">
            <v>4729.62</v>
          </cell>
          <cell r="E390" t="str">
            <v>dist</v>
          </cell>
          <cell r="F390">
            <v>4764</v>
          </cell>
          <cell r="G390">
            <v>4515</v>
          </cell>
          <cell r="H390" t="str">
            <v>labo</v>
          </cell>
          <cell r="I390">
            <v>3763.08</v>
          </cell>
          <cell r="J390">
            <v>3573</v>
          </cell>
          <cell r="K390" t="str">
            <v>ind_pr</v>
          </cell>
          <cell r="L390">
            <v>4211.45</v>
          </cell>
          <cell r="M390">
            <v>0</v>
          </cell>
          <cell r="N390" t="str">
            <v>hosp_umu</v>
          </cell>
          <cell r="O390">
            <v>2428.5500000000002</v>
          </cell>
          <cell r="P390">
            <v>0</v>
          </cell>
        </row>
        <row r="391">
          <cell r="A391" t="str">
            <v>Uniao da Vitoria</v>
          </cell>
          <cell r="B391" t="str">
            <v>var_pr</v>
          </cell>
          <cell r="C391">
            <v>4729.62</v>
          </cell>
          <cell r="D391">
            <v>4729.62</v>
          </cell>
          <cell r="E391" t="str">
            <v>dist</v>
          </cell>
          <cell r="F391">
            <v>4764</v>
          </cell>
          <cell r="G391">
            <v>4515</v>
          </cell>
          <cell r="H391" t="str">
            <v>labo</v>
          </cell>
          <cell r="I391">
            <v>3763.08</v>
          </cell>
          <cell r="J391">
            <v>3573</v>
          </cell>
          <cell r="K391" t="str">
            <v>ind_pr</v>
          </cell>
          <cell r="L391">
            <v>4211.45</v>
          </cell>
          <cell r="M391">
            <v>0</v>
          </cell>
          <cell r="N391">
            <v>0</v>
          </cell>
          <cell r="O391" t="e">
            <v>#N/A</v>
          </cell>
          <cell r="P391" t="e">
            <v>#N/A</v>
          </cell>
        </row>
        <row r="392">
          <cell r="A392" t="str">
            <v>Uniflor</v>
          </cell>
          <cell r="B392" t="str">
            <v>var_par</v>
          </cell>
          <cell r="C392">
            <v>4846</v>
          </cell>
          <cell r="D392">
            <v>4846</v>
          </cell>
          <cell r="E392" t="str">
            <v>dist</v>
          </cell>
          <cell r="F392">
            <v>4764</v>
          </cell>
          <cell r="G392">
            <v>4515</v>
          </cell>
          <cell r="H392" t="str">
            <v>labo</v>
          </cell>
          <cell r="I392">
            <v>3763.08</v>
          </cell>
          <cell r="J392">
            <v>3573</v>
          </cell>
          <cell r="K392" t="str">
            <v>ind_pr</v>
          </cell>
          <cell r="L392">
            <v>4211.45</v>
          </cell>
          <cell r="M392">
            <v>0</v>
          </cell>
          <cell r="N392" t="str">
            <v>hosp_mg</v>
          </cell>
          <cell r="O392">
            <v>3888.38</v>
          </cell>
          <cell r="P392">
            <v>0</v>
          </cell>
        </row>
        <row r="393">
          <cell r="A393" t="str">
            <v>Urai</v>
          </cell>
          <cell r="B393" t="str">
            <v>var_ld</v>
          </cell>
          <cell r="C393">
            <v>4750</v>
          </cell>
          <cell r="D393">
            <v>4527</v>
          </cell>
          <cell r="E393" t="str">
            <v>dist</v>
          </cell>
          <cell r="F393">
            <v>4764</v>
          </cell>
          <cell r="G393">
            <v>4515</v>
          </cell>
          <cell r="H393" t="str">
            <v>labo</v>
          </cell>
          <cell r="I393">
            <v>3763.08</v>
          </cell>
          <cell r="J393">
            <v>3573</v>
          </cell>
          <cell r="K393" t="str">
            <v>ind_pr</v>
          </cell>
          <cell r="L393">
            <v>4211.45</v>
          </cell>
          <cell r="M393">
            <v>0</v>
          </cell>
          <cell r="N393">
            <v>0</v>
          </cell>
          <cell r="O393" t="e">
            <v>#N/A</v>
          </cell>
          <cell r="P393" t="e">
            <v>#N/A</v>
          </cell>
        </row>
        <row r="394">
          <cell r="A394" t="str">
            <v>Ventania</v>
          </cell>
          <cell r="B394" t="str">
            <v>var_pr</v>
          </cell>
          <cell r="C394">
            <v>4729.62</v>
          </cell>
          <cell r="D394">
            <v>4729.62</v>
          </cell>
          <cell r="E394" t="str">
            <v>dist</v>
          </cell>
          <cell r="F394">
            <v>4764</v>
          </cell>
          <cell r="G394">
            <v>4515</v>
          </cell>
          <cell r="H394" t="str">
            <v>labo</v>
          </cell>
          <cell r="I394">
            <v>3763.08</v>
          </cell>
          <cell r="J394">
            <v>3573</v>
          </cell>
          <cell r="K394" t="str">
            <v>ind_pr</v>
          </cell>
          <cell r="L394">
            <v>4211.45</v>
          </cell>
          <cell r="M394">
            <v>0</v>
          </cell>
          <cell r="N394">
            <v>0</v>
          </cell>
          <cell r="O394" t="e">
            <v>#N/A</v>
          </cell>
          <cell r="P394" t="e">
            <v>#N/A</v>
          </cell>
        </row>
        <row r="395">
          <cell r="A395" t="str">
            <v>Vera Cruz do Oeste</v>
          </cell>
          <cell r="B395" t="str">
            <v>var_op</v>
          </cell>
          <cell r="C395">
            <v>4653</v>
          </cell>
          <cell r="D395">
            <v>4452</v>
          </cell>
          <cell r="E395" t="str">
            <v>dist</v>
          </cell>
          <cell r="F395">
            <v>4764</v>
          </cell>
          <cell r="G395">
            <v>4515</v>
          </cell>
          <cell r="H395" t="str">
            <v>labo</v>
          </cell>
          <cell r="I395">
            <v>3763.08</v>
          </cell>
          <cell r="J395">
            <v>3573</v>
          </cell>
          <cell r="K395" t="str">
            <v>ind_pr</v>
          </cell>
          <cell r="L395">
            <v>4211.45</v>
          </cell>
          <cell r="M395">
            <v>0</v>
          </cell>
          <cell r="N395">
            <v>0</v>
          </cell>
          <cell r="O395" t="e">
            <v>#N/A</v>
          </cell>
          <cell r="P395" t="e">
            <v>#N/A</v>
          </cell>
        </row>
        <row r="396">
          <cell r="A396" t="str">
            <v>Vere</v>
          </cell>
          <cell r="B396" t="str">
            <v>var_pr</v>
          </cell>
          <cell r="C396">
            <v>4729.62</v>
          </cell>
          <cell r="D396">
            <v>4729.62</v>
          </cell>
          <cell r="E396" t="str">
            <v>dist</v>
          </cell>
          <cell r="F396">
            <v>4764</v>
          </cell>
          <cell r="G396">
            <v>4515</v>
          </cell>
          <cell r="H396" t="str">
            <v>labo</v>
          </cell>
          <cell r="I396">
            <v>3763.08</v>
          </cell>
          <cell r="J396">
            <v>3573</v>
          </cell>
          <cell r="K396" t="str">
            <v>ind_pr</v>
          </cell>
          <cell r="L396">
            <v>4211.45</v>
          </cell>
          <cell r="M396">
            <v>0</v>
          </cell>
          <cell r="N396" t="str">
            <v>hosp_sudpr</v>
          </cell>
          <cell r="O396">
            <v>1760</v>
          </cell>
          <cell r="P396">
            <v>0</v>
          </cell>
        </row>
        <row r="397">
          <cell r="A397" t="str">
            <v>Virmond</v>
          </cell>
          <cell r="B397" t="str">
            <v>var_pr</v>
          </cell>
          <cell r="C397">
            <v>4729.62</v>
          </cell>
          <cell r="D397">
            <v>4729.62</v>
          </cell>
          <cell r="E397" t="str">
            <v>dist</v>
          </cell>
          <cell r="F397">
            <v>4764</v>
          </cell>
          <cell r="G397">
            <v>4515</v>
          </cell>
          <cell r="H397" t="str">
            <v>labo</v>
          </cell>
          <cell r="I397">
            <v>3763.08</v>
          </cell>
          <cell r="J397">
            <v>3573</v>
          </cell>
          <cell r="K397" t="str">
            <v>ind_pr</v>
          </cell>
          <cell r="L397">
            <v>4211.45</v>
          </cell>
          <cell r="M397">
            <v>0</v>
          </cell>
          <cell r="N397" t="str">
            <v>hosp_co</v>
          </cell>
          <cell r="O397">
            <v>3036.29</v>
          </cell>
          <cell r="P397">
            <v>0</v>
          </cell>
        </row>
        <row r="398">
          <cell r="A398" t="str">
            <v>Vitorino</v>
          </cell>
          <cell r="B398" t="str">
            <v>var_pr</v>
          </cell>
          <cell r="C398">
            <v>4729.62</v>
          </cell>
          <cell r="D398">
            <v>4729.62</v>
          </cell>
          <cell r="E398" t="str">
            <v>dist</v>
          </cell>
          <cell r="F398">
            <v>4764</v>
          </cell>
          <cell r="G398">
            <v>4515</v>
          </cell>
          <cell r="H398" t="str">
            <v>labo</v>
          </cell>
          <cell r="I398">
            <v>3763.08</v>
          </cell>
          <cell r="J398">
            <v>3573</v>
          </cell>
          <cell r="K398" t="str">
            <v>ind_pr</v>
          </cell>
          <cell r="L398">
            <v>4211.45</v>
          </cell>
          <cell r="M398">
            <v>0</v>
          </cell>
          <cell r="N398" t="str">
            <v>hosp_pb</v>
          </cell>
          <cell r="O398">
            <v>1760</v>
          </cell>
          <cell r="P398">
            <v>0</v>
          </cell>
        </row>
        <row r="399">
          <cell r="A399" t="str">
            <v>Wenceslau Braz</v>
          </cell>
          <cell r="B399" t="str">
            <v>var_sto</v>
          </cell>
          <cell r="C399">
            <v>5030</v>
          </cell>
          <cell r="D399">
            <v>5030</v>
          </cell>
          <cell r="E399" t="str">
            <v>dist</v>
          </cell>
          <cell r="F399">
            <v>4764</v>
          </cell>
          <cell r="G399">
            <v>4515</v>
          </cell>
          <cell r="H399" t="str">
            <v>labo</v>
          </cell>
          <cell r="I399">
            <v>3763.08</v>
          </cell>
          <cell r="J399">
            <v>3573</v>
          </cell>
          <cell r="K399" t="str">
            <v>ind_pr</v>
          </cell>
          <cell r="L399">
            <v>4211.45</v>
          </cell>
          <cell r="M399">
            <v>0</v>
          </cell>
          <cell r="N399" t="str">
            <v>hosp_nor</v>
          </cell>
          <cell r="O399">
            <v>1760</v>
          </cell>
          <cell r="P399">
            <v>0</v>
          </cell>
        </row>
        <row r="400">
          <cell r="A400" t="str">
            <v>Xambre</v>
          </cell>
          <cell r="B400" t="str">
            <v>var_pr</v>
          </cell>
          <cell r="C400">
            <v>4729.62</v>
          </cell>
          <cell r="D400">
            <v>4729.62</v>
          </cell>
          <cell r="E400" t="str">
            <v>dist</v>
          </cell>
          <cell r="F400">
            <v>4764</v>
          </cell>
          <cell r="G400">
            <v>4515</v>
          </cell>
          <cell r="H400" t="str">
            <v>labo</v>
          </cell>
          <cell r="I400">
            <v>3763.08</v>
          </cell>
          <cell r="J400">
            <v>3573</v>
          </cell>
          <cell r="K400" t="str">
            <v>ind_pr</v>
          </cell>
          <cell r="L400">
            <v>4211.45</v>
          </cell>
          <cell r="M400">
            <v>0</v>
          </cell>
          <cell r="N400" t="str">
            <v>hosp_umu</v>
          </cell>
          <cell r="O400">
            <v>2428.5500000000002</v>
          </cell>
          <cell r="P400">
            <v>0</v>
          </cell>
        </row>
      </sheetData>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782505-75F0-445B-BF46-4B410963B21D}" name="Tabela1" displayName="Tabela1" ref="D1:D2" totalsRowShown="0" headerRowDxfId="0" dataDxfId="1">
  <autoFilter ref="D1:D2" xr:uid="{99782505-75F0-445B-BF46-4B410963B21D}"/>
  <tableColumns count="1">
    <tableColumn id="1" xr3:uid="{093ABE90-B8D0-48FB-B0E0-E8FFA40BD98C}" name="DOCUMENTOS" dataDxfId="2"/>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evelyn.farmacia@outlook.com" TargetMode="External"/><Relationship Id="rId13" Type="http://schemas.openxmlformats.org/officeDocument/2006/relationships/hyperlink" Target="mailto:masterfarmamr@gmail.com%20-%20dados%20de%20emal%20e%20telefone" TargetMode="External"/><Relationship Id="rId18" Type="http://schemas.openxmlformats.org/officeDocument/2006/relationships/hyperlink" Target="mailto:nforest@grupopanvel.com.br" TargetMode="External"/><Relationship Id="rId26" Type="http://schemas.openxmlformats.org/officeDocument/2006/relationships/comments" Target="../comments1.xml"/><Relationship Id="rId3" Type="http://schemas.openxmlformats.org/officeDocument/2006/relationships/hyperlink" Target="mailto:nicolas200399@outlook.com%20-%20enviado%20o%20protocolo,%20pedir%20pra%20ele%20solicitar%20certid&#227;o%20de%20secundaria%20para%20crf%20sc" TargetMode="External"/><Relationship Id="rId21" Type="http://schemas.openxmlformats.org/officeDocument/2006/relationships/hyperlink" Target="mailto:clinilab@onda.com.br%20//%20filial%200006" TargetMode="External"/><Relationship Id="rId7" Type="http://schemas.openxmlformats.org/officeDocument/2006/relationships/hyperlink" Target="mailto:mariana.fanasca@dasa.com.br%20//%20muitas%20unidades%20fazer%20com%20calma" TargetMode="External"/><Relationship Id="rId12" Type="http://schemas.openxmlformats.org/officeDocument/2006/relationships/hyperlink" Target="mailto:FESF@novonesis.com%20%20%20%20-%20%20%20AAPF" TargetMode="External"/><Relationship Id="rId17" Type="http://schemas.openxmlformats.org/officeDocument/2006/relationships/hyperlink" Target="mailto:gabriela.marin@grupospconsult.com.br%20//%20solicitou%20retirada%20de%20procuradora%20no%20email%20solicitei%20declara&#231;&#227;o%20formal.;" TargetMode="External"/><Relationship Id="rId25" Type="http://schemas.openxmlformats.org/officeDocument/2006/relationships/vmlDrawing" Target="../drawings/vmlDrawing1.vml"/><Relationship Id="rId2" Type="http://schemas.openxmlformats.org/officeDocument/2006/relationships/hyperlink" Target="mailto:escrita@cecopar.com.br%20//%20faltou%20contrato%20de%20presta&#231;&#227;o%20de%20servi&#231;os" TargetMode="External"/><Relationship Id="rId16" Type="http://schemas.openxmlformats.org/officeDocument/2006/relationships/hyperlink" Target="mailto:aline.ifolador@gmail.com%20%20///%20cpf" TargetMode="External"/><Relationship Id="rId20" Type="http://schemas.openxmlformats.org/officeDocument/2006/relationships/hyperlink" Target="mailto:laboratsaojose@hotmail.com%20//%20reabilit&#231;a&#245;" TargetMode="External"/><Relationship Id="rId1" Type="http://schemas.openxmlformats.org/officeDocument/2006/relationships/hyperlink" Target="mailto:saude@imbau.pr.gov.br//%20documento%20com%20endere&#231;o.%20//%20SOLICITEI%20DOCUMENTO%20VIA%20E-MAIL%20REGISTRO.PJ%20NAS%20F&#201;RIAS%20DA%20SILVIA" TargetMode="External"/><Relationship Id="rId6" Type="http://schemas.openxmlformats.org/officeDocument/2006/relationships/hyperlink" Target="mailto:mariana.fanasca@dasa.com.br%20//%20muitas%20unidades%20fazer%20com%20calma" TargetMode="External"/><Relationship Id="rId11" Type="http://schemas.openxmlformats.org/officeDocument/2006/relationships/hyperlink" Target="mailto:edersonjonathan16@hotmail.com" TargetMode="External"/><Relationship Id="rId24" Type="http://schemas.openxmlformats.org/officeDocument/2006/relationships/drawing" Target="../drawings/drawing1.xml"/><Relationship Id="rId5" Type="http://schemas.openxmlformats.org/officeDocument/2006/relationships/hyperlink" Target="mailto:gahmachado@yahoo.com.br" TargetMode="External"/><Relationship Id="rId15" Type="http://schemas.openxmlformats.org/officeDocument/2006/relationships/hyperlink" Target="mailto:chrissoniteixeira@gmail.com" TargetMode="External"/><Relationship Id="rId23" Type="http://schemas.openxmlformats.org/officeDocument/2006/relationships/printerSettings" Target="../printerSettings/printerSettings2.bin"/><Relationship Id="rId10" Type="http://schemas.openxmlformats.org/officeDocument/2006/relationships/hyperlink" Target="mailto:pamtocles@icloud.com" TargetMode="External"/><Relationship Id="rId19" Type="http://schemas.openxmlformats.org/officeDocument/2006/relationships/hyperlink" Target="mailto:seabra.aline.82@hotmail.com" TargetMode="External"/><Relationship Id="rId4" Type="http://schemas.openxmlformats.org/officeDocument/2006/relationships/hyperlink" Target="mailto:glauciviana8@gmail.com//%20altera%20cadastro" TargetMode="External"/><Relationship Id="rId9" Type="http://schemas.openxmlformats.org/officeDocument/2006/relationships/hyperlink" Target="mailto:processos@hcorbj.com.br" TargetMode="External"/><Relationship Id="rId14" Type="http://schemas.openxmlformats.org/officeDocument/2006/relationships/hyperlink" Target="mailto:Fatima.ferralhi@outlook.com" TargetMode="External"/><Relationship Id="rId22" Type="http://schemas.openxmlformats.org/officeDocument/2006/relationships/hyperlink" Target="mailto:natalia.aparecida@vverde.com.br"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anvisalegis.datalegis.net/action/ActionDatalegis.php?acao=abrirTextoAto&amp;link=S&amp;tipo=RDC&amp;numeroAto=00000406&amp;seqAto=000&amp;valorAno=2020&amp;orgao=RDC/DC/ANVISA/MS&amp;cod_modulo=310&amp;cod_menu=8542" TargetMode="External"/><Relationship Id="rId13" Type="http://schemas.openxmlformats.org/officeDocument/2006/relationships/hyperlink" Target="https://saude.curitiba.pr.gov.br/images/Resolu%C3%A7%C3%A3o%20n%C2%BA%2002%20-%202018%20-%20Disp%C3%B5e%20sobre%20processo%20de%20licenciamento%20sanit%C3%A1rio.pdf" TargetMode="External"/><Relationship Id="rId18" Type="http://schemas.openxmlformats.org/officeDocument/2006/relationships/hyperlink" Target="https://www.crf-pr.org.br/deliberacao?DeliberacaoSearch%5Bq%5D=dap&amp;DeliberacaoSearch%5Bq%5D=dap&amp;DeliberacaoSearch%5Bq%5D=declara%C3%A7%C3%A3o+de+atividades&amp;DeliberacaoSearch%5Bq%5D=atividades&amp;DeliberacaoSearch%5Bq%5D=2024&amp;DeliberacaoSearch%5Bq%5D=2025&amp;DeliberacaoSearch%5Bq%5D=DAP&amp;DeliberacaoSearch%5Bq%5D=" TargetMode="External"/><Relationship Id="rId3" Type="http://schemas.openxmlformats.org/officeDocument/2006/relationships/hyperlink" Target="https://cfq.org.br/wp-content/uploads/2018/12/Resolu%C3%A7%C3%A3o-Normativa-n%C2%BA-224-de-18-de-dezembro-de-2009.pdf" TargetMode="External"/><Relationship Id="rId7" Type="http://schemas.openxmlformats.org/officeDocument/2006/relationships/hyperlink" Target="https://anvisalegis.datalegis.net/action/ActionDatalegis.php?acao=abrirTextoAto&amp;link=S&amp;tipo=RDC&amp;numeroAto=00000887&amp;seqAto=000&amp;valorAno=2024&amp;orgao=RDC/DC/ANVISA/MS&amp;cod_modulo=310&amp;cod_menu=9431" TargetMode="External"/><Relationship Id="rId12" Type="http://schemas.openxmlformats.org/officeDocument/2006/relationships/hyperlink" Target="https://sindusfarma.org.br/uploads/files/8e1f-diego-silva/2021/Boletim/049/file.pdf" TargetMode="External"/><Relationship Id="rId17" Type="http://schemas.openxmlformats.org/officeDocument/2006/relationships/hyperlink" Target="https://www.crf-pr.org.br/documento/index?DocumentoSearch%5Bid_documento_categoria%5D=19" TargetMode="External"/><Relationship Id="rId2" Type="http://schemas.openxmlformats.org/officeDocument/2006/relationships/hyperlink" Target="https://www.jusbrasil.com.br/noticias/sumula-413-do-stj-trata-de-direito-sanitario/2033085" TargetMode="External"/><Relationship Id="rId16" Type="http://schemas.openxmlformats.org/officeDocument/2006/relationships/hyperlink" Target="https://www.crf-pr.org.br/uploads/deliberacao/1540/FLztPfIOFS_FOoTL6YlTowb16l4aPTEj.pdf" TargetMode="External"/><Relationship Id="rId20" Type="http://schemas.openxmlformats.org/officeDocument/2006/relationships/hyperlink" Target="https://cff-br.implanta.net.br/f7fc2658-2c2c-447b-a66a-071c15782cf3" TargetMode="External"/><Relationship Id="rId1" Type="http://schemas.openxmlformats.org/officeDocument/2006/relationships/hyperlink" Target="https://bvsms.saude.gov.br/bvs/saudelegis/anvisa/2009/rdc0044_17_08_2009.pdf" TargetMode="External"/><Relationship Id="rId6" Type="http://schemas.openxmlformats.org/officeDocument/2006/relationships/hyperlink" Target="https://www.legisweb.com.br/legislacao/?id=487277" TargetMode="External"/><Relationship Id="rId11" Type="http://schemas.openxmlformats.org/officeDocument/2006/relationships/hyperlink" Target="https://www.legisweb.com.br/legislacao/?id=410234" TargetMode="External"/><Relationship Id="rId5" Type="http://schemas.openxmlformats.org/officeDocument/2006/relationships/hyperlink" Target="https://www.planalto.gov.br/ccivil_03/decreto/antigos/d85878.htm" TargetMode="External"/><Relationship Id="rId15" Type="http://schemas.openxmlformats.org/officeDocument/2006/relationships/hyperlink" Target="https://www.planalto.gov.br/ccivil_03/_Ato2004-2006/2004/Decreto/D5053.htm" TargetMode="External"/><Relationship Id="rId10" Type="http://schemas.openxmlformats.org/officeDocument/2006/relationships/hyperlink" Target="https://www.in.gov.br/en/web/dou/-/resolucao-n-724-de-29-de-abril-de-2022-402116878" TargetMode="External"/><Relationship Id="rId19" Type="http://schemas.openxmlformats.org/officeDocument/2006/relationships/hyperlink" Target="https://www.saude.pr.gov.br/sites/default/arquivos_restritos/files/documento/2020-05/resolucao5902014.pdf" TargetMode="External"/><Relationship Id="rId4" Type="http://schemas.openxmlformats.org/officeDocument/2006/relationships/hyperlink" Target="https://www.legisweb.com.br/legislacao/?id=464410" TargetMode="External"/><Relationship Id="rId9" Type="http://schemas.openxmlformats.org/officeDocument/2006/relationships/hyperlink" Target="https://www.in.gov.br/en/web/dou/-/resolucao-da-diretoria-colegiada-anvisa-rdc-n-870-de-17-de-maio-de-2024-560756228" TargetMode="External"/><Relationship Id="rId14" Type="http://schemas.openxmlformats.org/officeDocument/2006/relationships/hyperlink" Target="https://www.planalto.gov.br/ccivil_03/_Ato2015-2018/2015/Decreto/D8448.ht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756D-C9D2-4662-8F17-0ECFC00BA813}">
  <sheetPr codeName="Planilha2"/>
  <dimension ref="A2:E57"/>
  <sheetViews>
    <sheetView topLeftCell="A25" workbookViewId="0">
      <selection activeCell="C19" sqref="C19"/>
    </sheetView>
  </sheetViews>
  <sheetFormatPr defaultColWidth="9.109375" defaultRowHeight="15" customHeight="1" x14ac:dyDescent="0.3"/>
  <cols>
    <col min="1" max="1" width="63.6640625" style="5" bestFit="1" customWidth="1"/>
    <col min="2" max="2" width="9.109375" style="5"/>
    <col min="3" max="3" width="28.109375" style="5" bestFit="1" customWidth="1"/>
    <col min="4" max="4" width="9.109375" style="5"/>
    <col min="5" max="5" width="40.44140625" style="5" bestFit="1" customWidth="1"/>
    <col min="6" max="16384" width="9.109375" style="5"/>
  </cols>
  <sheetData>
    <row r="2" spans="1:5" ht="15" customHeight="1" x14ac:dyDescent="0.3">
      <c r="A2" s="1" t="s">
        <v>4</v>
      </c>
      <c r="C2" s="3" t="s">
        <v>37</v>
      </c>
      <c r="E2" s="5" t="s">
        <v>351</v>
      </c>
    </row>
    <row r="3" spans="1:5" ht="15" customHeight="1" x14ac:dyDescent="0.3">
      <c r="A3" s="1" t="s">
        <v>5</v>
      </c>
      <c r="C3" s="3" t="s">
        <v>38</v>
      </c>
      <c r="E3" s="5" t="s">
        <v>352</v>
      </c>
    </row>
    <row r="4" spans="1:5" ht="15" customHeight="1" x14ac:dyDescent="0.3">
      <c r="A4" s="2" t="s">
        <v>6</v>
      </c>
      <c r="C4" s="3" t="s">
        <v>39</v>
      </c>
      <c r="E4" s="5" t="s">
        <v>308</v>
      </c>
    </row>
    <row r="5" spans="1:5" ht="15" customHeight="1" x14ac:dyDescent="0.3">
      <c r="A5" s="2" t="s">
        <v>7</v>
      </c>
      <c r="C5" s="3" t="s">
        <v>40</v>
      </c>
      <c r="E5" s="5" t="s">
        <v>309</v>
      </c>
    </row>
    <row r="6" spans="1:5" ht="15" customHeight="1" x14ac:dyDescent="0.3">
      <c r="A6" s="2" t="s">
        <v>8</v>
      </c>
      <c r="C6" s="3" t="s">
        <v>41</v>
      </c>
      <c r="E6" s="5" t="s">
        <v>310</v>
      </c>
    </row>
    <row r="7" spans="1:5" ht="15" customHeight="1" x14ac:dyDescent="0.3">
      <c r="A7" s="2" t="s">
        <v>9</v>
      </c>
      <c r="C7" s="3" t="s">
        <v>42</v>
      </c>
      <c r="E7" s="5" t="s">
        <v>311</v>
      </c>
    </row>
    <row r="8" spans="1:5" ht="15" customHeight="1" x14ac:dyDescent="0.3">
      <c r="A8" s="1" t="s">
        <v>10</v>
      </c>
      <c r="C8" s="3" t="s">
        <v>43</v>
      </c>
      <c r="E8" s="5" t="s">
        <v>173</v>
      </c>
    </row>
    <row r="9" spans="1:5" ht="15" customHeight="1" x14ac:dyDescent="0.3">
      <c r="A9" s="2" t="s">
        <v>11</v>
      </c>
      <c r="C9" s="3" t="s">
        <v>44</v>
      </c>
      <c r="E9" s="5" t="s">
        <v>177</v>
      </c>
    </row>
    <row r="10" spans="1:5" ht="15" customHeight="1" x14ac:dyDescent="0.3">
      <c r="A10" s="2" t="s">
        <v>12</v>
      </c>
      <c r="C10" s="3" t="s">
        <v>45</v>
      </c>
      <c r="E10" s="5" t="s">
        <v>312</v>
      </c>
    </row>
    <row r="11" spans="1:5" ht="15" customHeight="1" x14ac:dyDescent="0.3">
      <c r="A11" s="1" t="s">
        <v>13</v>
      </c>
      <c r="C11" s="3" t="s">
        <v>46</v>
      </c>
      <c r="E11" s="5" t="s">
        <v>313</v>
      </c>
    </row>
    <row r="12" spans="1:5" ht="15" customHeight="1" x14ac:dyDescent="0.3">
      <c r="A12" s="1" t="s">
        <v>14</v>
      </c>
      <c r="C12" s="3" t="s">
        <v>120</v>
      </c>
      <c r="E12" s="5" t="s">
        <v>180</v>
      </c>
    </row>
    <row r="13" spans="1:5" ht="15" customHeight="1" x14ac:dyDescent="0.3">
      <c r="A13" s="2" t="s">
        <v>15</v>
      </c>
      <c r="C13" s="5" t="s">
        <v>357</v>
      </c>
      <c r="E13" s="5" t="s">
        <v>314</v>
      </c>
    </row>
    <row r="14" spans="1:5" ht="15" customHeight="1" x14ac:dyDescent="0.3">
      <c r="A14" s="2" t="s">
        <v>2</v>
      </c>
      <c r="C14" s="5" t="s">
        <v>358</v>
      </c>
      <c r="E14" s="5" t="s">
        <v>315</v>
      </c>
    </row>
    <row r="15" spans="1:5" ht="15" customHeight="1" x14ac:dyDescent="0.3">
      <c r="A15" s="3" t="s">
        <v>16</v>
      </c>
      <c r="C15" s="5" t="s">
        <v>48</v>
      </c>
      <c r="E15" s="5" t="s">
        <v>316</v>
      </c>
    </row>
    <row r="16" spans="1:5" ht="15" customHeight="1" x14ac:dyDescent="0.3">
      <c r="A16" s="3" t="s">
        <v>307</v>
      </c>
      <c r="C16" s="5" t="s">
        <v>359</v>
      </c>
      <c r="E16" s="5" t="s">
        <v>317</v>
      </c>
    </row>
    <row r="17" spans="1:5" ht="15" customHeight="1" x14ac:dyDescent="0.3">
      <c r="A17" s="1" t="s">
        <v>17</v>
      </c>
      <c r="E17" s="5" t="s">
        <v>318</v>
      </c>
    </row>
    <row r="18" spans="1:5" ht="15" customHeight="1" x14ac:dyDescent="0.3">
      <c r="A18" s="2" t="s">
        <v>18</v>
      </c>
      <c r="E18" s="5" t="s">
        <v>319</v>
      </c>
    </row>
    <row r="19" spans="1:5" ht="15" customHeight="1" x14ac:dyDescent="0.3">
      <c r="A19" s="1" t="s">
        <v>19</v>
      </c>
      <c r="E19" s="5" t="s">
        <v>185</v>
      </c>
    </row>
    <row r="20" spans="1:5" ht="15" customHeight="1" x14ac:dyDescent="0.3">
      <c r="A20" s="1" t="s">
        <v>20</v>
      </c>
      <c r="E20" s="5" t="s">
        <v>320</v>
      </c>
    </row>
    <row r="21" spans="1:5" ht="15" customHeight="1" x14ac:dyDescent="0.3">
      <c r="A21" s="1" t="s">
        <v>21</v>
      </c>
      <c r="E21" s="5" t="s">
        <v>186</v>
      </c>
    </row>
    <row r="22" spans="1:5" ht="15" customHeight="1" x14ac:dyDescent="0.3">
      <c r="A22" s="1" t="s">
        <v>22</v>
      </c>
      <c r="E22" s="5" t="s">
        <v>321</v>
      </c>
    </row>
    <row r="23" spans="1:5" ht="15" customHeight="1" x14ac:dyDescent="0.3">
      <c r="A23" s="1" t="s">
        <v>23</v>
      </c>
      <c r="E23" s="5" t="s">
        <v>322</v>
      </c>
    </row>
    <row r="24" spans="1:5" ht="15" customHeight="1" x14ac:dyDescent="0.3">
      <c r="A24" s="1" t="s">
        <v>24</v>
      </c>
      <c r="E24" s="5" t="s">
        <v>323</v>
      </c>
    </row>
    <row r="25" spans="1:5" ht="15" customHeight="1" x14ac:dyDescent="0.3">
      <c r="A25" s="1" t="s">
        <v>25</v>
      </c>
      <c r="E25" s="5" t="s">
        <v>324</v>
      </c>
    </row>
    <row r="26" spans="1:5" ht="15" customHeight="1" x14ac:dyDescent="0.3">
      <c r="A26" s="1" t="s">
        <v>26</v>
      </c>
      <c r="E26" s="5" t="s">
        <v>325</v>
      </c>
    </row>
    <row r="27" spans="1:5" ht="15" customHeight="1" x14ac:dyDescent="0.3">
      <c r="A27" s="1" t="s">
        <v>27</v>
      </c>
      <c r="E27" s="5" t="s">
        <v>326</v>
      </c>
    </row>
    <row r="28" spans="1:5" ht="15" customHeight="1" x14ac:dyDescent="0.3">
      <c r="A28" s="1" t="s">
        <v>28</v>
      </c>
      <c r="E28" s="5" t="s">
        <v>327</v>
      </c>
    </row>
    <row r="29" spans="1:5" ht="15" customHeight="1" x14ac:dyDescent="0.3">
      <c r="A29" s="1" t="s">
        <v>29</v>
      </c>
      <c r="E29" s="5" t="s">
        <v>328</v>
      </c>
    </row>
    <row r="30" spans="1:5" ht="15" customHeight="1" x14ac:dyDescent="0.3">
      <c r="A30" s="2" t="s">
        <v>30</v>
      </c>
      <c r="E30" s="5" t="s">
        <v>329</v>
      </c>
    </row>
    <row r="31" spans="1:5" ht="15" customHeight="1" x14ac:dyDescent="0.3">
      <c r="A31" s="2" t="s">
        <v>31</v>
      </c>
      <c r="E31" s="5" t="s">
        <v>330</v>
      </c>
    </row>
    <row r="32" spans="1:5" ht="15" customHeight="1" x14ac:dyDescent="0.3">
      <c r="A32" s="2" t="s">
        <v>32</v>
      </c>
      <c r="E32" s="5" t="s">
        <v>331</v>
      </c>
    </row>
    <row r="33" spans="1:5" ht="15" customHeight="1" x14ac:dyDescent="0.3">
      <c r="A33" s="4" t="s">
        <v>33</v>
      </c>
      <c r="E33" s="5" t="s">
        <v>332</v>
      </c>
    </row>
    <row r="34" spans="1:5" ht="15" customHeight="1" x14ac:dyDescent="0.3">
      <c r="A34" s="4" t="s">
        <v>34</v>
      </c>
      <c r="E34" s="5" t="s">
        <v>333</v>
      </c>
    </row>
    <row r="35" spans="1:5" ht="15" customHeight="1" x14ac:dyDescent="0.3">
      <c r="A35" s="4" t="s">
        <v>35</v>
      </c>
      <c r="E35" s="5" t="s">
        <v>334</v>
      </c>
    </row>
    <row r="36" spans="1:5" ht="15" customHeight="1" x14ac:dyDescent="0.3">
      <c r="A36" s="4" t="s">
        <v>36</v>
      </c>
      <c r="E36" s="5" t="s">
        <v>335</v>
      </c>
    </row>
    <row r="37" spans="1:5" ht="15" customHeight="1" x14ac:dyDescent="0.3">
      <c r="E37" s="5" t="s">
        <v>336</v>
      </c>
    </row>
    <row r="38" spans="1:5" ht="15" customHeight="1" x14ac:dyDescent="0.3">
      <c r="E38" s="5" t="s">
        <v>337</v>
      </c>
    </row>
    <row r="39" spans="1:5" ht="15" customHeight="1" x14ac:dyDescent="0.3">
      <c r="E39" s="5" t="s">
        <v>338</v>
      </c>
    </row>
    <row r="40" spans="1:5" ht="15" customHeight="1" x14ac:dyDescent="0.3">
      <c r="E40" s="5" t="s">
        <v>339</v>
      </c>
    </row>
    <row r="41" spans="1:5" ht="15" customHeight="1" x14ac:dyDescent="0.3">
      <c r="E41" s="5" t="s">
        <v>340</v>
      </c>
    </row>
    <row r="42" spans="1:5" ht="15" customHeight="1" x14ac:dyDescent="0.3">
      <c r="E42" s="5" t="s">
        <v>341</v>
      </c>
    </row>
    <row r="43" spans="1:5" ht="15" customHeight="1" x14ac:dyDescent="0.3">
      <c r="E43" s="5" t="s">
        <v>342</v>
      </c>
    </row>
    <row r="44" spans="1:5" ht="15" customHeight="1" x14ac:dyDescent="0.3">
      <c r="E44" s="5" t="s">
        <v>343</v>
      </c>
    </row>
    <row r="45" spans="1:5" ht="15" customHeight="1" x14ac:dyDescent="0.3">
      <c r="E45" s="5" t="s">
        <v>344</v>
      </c>
    </row>
    <row r="46" spans="1:5" ht="15" customHeight="1" x14ac:dyDescent="0.3">
      <c r="E46" s="5" t="s">
        <v>216</v>
      </c>
    </row>
    <row r="47" spans="1:5" ht="15" customHeight="1" x14ac:dyDescent="0.3">
      <c r="E47" s="5" t="s">
        <v>217</v>
      </c>
    </row>
    <row r="48" spans="1:5" ht="15" customHeight="1" x14ac:dyDescent="0.3">
      <c r="E48" s="5" t="s">
        <v>345</v>
      </c>
    </row>
    <row r="49" spans="5:5" ht="15" customHeight="1" x14ac:dyDescent="0.3">
      <c r="E49" s="5" t="s">
        <v>346</v>
      </c>
    </row>
    <row r="50" spans="5:5" ht="15" customHeight="1" x14ac:dyDescent="0.3">
      <c r="E50" s="5" t="s">
        <v>347</v>
      </c>
    </row>
    <row r="51" spans="5:5" ht="15" customHeight="1" x14ac:dyDescent="0.3">
      <c r="E51" s="5" t="s">
        <v>348</v>
      </c>
    </row>
    <row r="52" spans="5:5" ht="15" customHeight="1" x14ac:dyDescent="0.3">
      <c r="E52" s="5" t="s">
        <v>220</v>
      </c>
    </row>
    <row r="53" spans="5:5" ht="15" customHeight="1" x14ac:dyDescent="0.3">
      <c r="E53" s="5" t="s">
        <v>221</v>
      </c>
    </row>
    <row r="54" spans="5:5" ht="15" customHeight="1" x14ac:dyDescent="0.3">
      <c r="E54" s="5" t="s">
        <v>222</v>
      </c>
    </row>
    <row r="55" spans="5:5" ht="15" customHeight="1" x14ac:dyDescent="0.3">
      <c r="E55" s="5" t="s">
        <v>349</v>
      </c>
    </row>
    <row r="56" spans="5:5" ht="15" customHeight="1" x14ac:dyDescent="0.3">
      <c r="E56" s="5" t="s">
        <v>350</v>
      </c>
    </row>
    <row r="57" spans="5:5" ht="15" customHeight="1" x14ac:dyDescent="0.3">
      <c r="E57" s="5" t="s">
        <v>224</v>
      </c>
    </row>
  </sheetData>
  <sheetProtection algorithmName="SHA-512" hashValue="LQsiRYA/biGsqxsFLmrIC9QuNm8KAaZwakXWj3AF8QpDejCIxUsgcUnCVFdZ33tNHTyHm3lvhJUejf5GFCoSGw==" saltValue="ViFo2bq6USm0SmbYfp8Gwg==" spinCount="100000" sheet="1" objects="1" scenarios="1" selectLockedCells="1" selectUnlockedCells="1"/>
  <sortState xmlns:xlrd2="http://schemas.microsoft.com/office/spreadsheetml/2017/richdata2" ref="E4:E57">
    <sortCondition ref="E4:E57"/>
  </sortState>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5BC33-88AB-41D0-AC0F-83F1AAE09BA9}">
  <sheetPr codeName="Planilha3">
    <pageSetUpPr fitToPage="1"/>
  </sheetPr>
  <dimension ref="A1:XFC527"/>
  <sheetViews>
    <sheetView showFormulas="1" showGridLines="0" zoomScaleNormal="100" workbookViewId="0">
      <selection activeCell="G1" sqref="G1"/>
    </sheetView>
  </sheetViews>
  <sheetFormatPr defaultColWidth="0" defaultRowHeight="14.4" x14ac:dyDescent="0.3"/>
  <cols>
    <col min="1" max="1" width="24.33203125" style="39" customWidth="1"/>
    <col min="2" max="2" width="11.44140625" style="135" customWidth="1"/>
    <col min="3" max="3" width="12.6640625" style="39" customWidth="1"/>
    <col min="4" max="4" width="28.44140625" style="39" customWidth="1"/>
    <col min="5" max="5" width="8.109375" style="40" customWidth="1"/>
    <col min="6" max="6" width="29.5546875" style="39" customWidth="1"/>
    <col min="7" max="7" width="38.33203125" style="39" customWidth="1"/>
    <col min="8" max="8" width="55.109375" style="39" customWidth="1"/>
    <col min="9" max="16383" width="9.109375" style="39" hidden="1"/>
    <col min="16384" max="16384" width="1.109375" style="39" customWidth="1"/>
  </cols>
  <sheetData>
    <row r="1" spans="1:8" s="117" customFormat="1" ht="16.2" thickBot="1" x14ac:dyDescent="0.35">
      <c r="A1" s="114" t="s">
        <v>0</v>
      </c>
      <c r="B1" s="134" t="s">
        <v>355</v>
      </c>
      <c r="C1" s="115" t="s">
        <v>1</v>
      </c>
      <c r="D1" s="115" t="s">
        <v>353</v>
      </c>
      <c r="E1" s="115" t="s">
        <v>356</v>
      </c>
      <c r="F1" s="115" t="s">
        <v>354</v>
      </c>
      <c r="G1" s="115" t="s">
        <v>47</v>
      </c>
      <c r="H1" s="116" t="s">
        <v>3</v>
      </c>
    </row>
    <row r="2" spans="1:8" x14ac:dyDescent="0.3">
      <c r="A2" s="39" t="s">
        <v>44</v>
      </c>
      <c r="B2" s="135" t="s">
        <v>384</v>
      </c>
      <c r="C2" s="41">
        <v>46073</v>
      </c>
      <c r="D2" s="39" t="s">
        <v>328</v>
      </c>
      <c r="E2" s="40">
        <v>23653</v>
      </c>
      <c r="F2" s="39" t="s">
        <v>385</v>
      </c>
      <c r="G2" s="39" t="s">
        <v>386</v>
      </c>
      <c r="H2" s="39" t="s">
        <v>8</v>
      </c>
    </row>
    <row r="3" spans="1:8" x14ac:dyDescent="0.3">
      <c r="A3" s="39" t="s">
        <v>39</v>
      </c>
      <c r="C3" s="41">
        <v>46077</v>
      </c>
      <c r="D3" s="39" t="s">
        <v>328</v>
      </c>
      <c r="F3" s="39" t="s">
        <v>387</v>
      </c>
      <c r="G3" s="120" t="s">
        <v>450</v>
      </c>
      <c r="H3" s="39" t="s">
        <v>388</v>
      </c>
    </row>
    <row r="4" spans="1:8" x14ac:dyDescent="0.3">
      <c r="A4" s="39" t="s">
        <v>39</v>
      </c>
      <c r="C4" s="41">
        <v>46077</v>
      </c>
      <c r="D4" s="39" t="s">
        <v>351</v>
      </c>
      <c r="E4" s="40">
        <v>10299</v>
      </c>
      <c r="F4" s="39" t="s">
        <v>389</v>
      </c>
      <c r="G4" s="39" t="s">
        <v>390</v>
      </c>
      <c r="H4" s="39" t="s">
        <v>28</v>
      </c>
    </row>
    <row r="5" spans="1:8" x14ac:dyDescent="0.3">
      <c r="A5" s="39" t="s">
        <v>44</v>
      </c>
      <c r="B5" s="136">
        <v>122757</v>
      </c>
      <c r="C5" s="41">
        <v>46080</v>
      </c>
      <c r="D5" s="39" t="s">
        <v>220</v>
      </c>
      <c r="E5" s="40">
        <v>24731</v>
      </c>
      <c r="F5" s="39" t="s">
        <v>391</v>
      </c>
      <c r="G5" s="120" t="s">
        <v>392</v>
      </c>
      <c r="H5" s="39" t="s">
        <v>30</v>
      </c>
    </row>
    <row r="6" spans="1:8" x14ac:dyDescent="0.3">
      <c r="A6" s="39" t="s">
        <v>44</v>
      </c>
      <c r="B6" s="135" t="s">
        <v>393</v>
      </c>
      <c r="C6" s="41">
        <v>46086</v>
      </c>
      <c r="D6" s="39" t="s">
        <v>328</v>
      </c>
      <c r="E6" s="40">
        <v>14596</v>
      </c>
      <c r="F6" s="39" t="s">
        <v>394</v>
      </c>
      <c r="G6" s="50" t="s">
        <v>395</v>
      </c>
      <c r="H6" s="39" t="s">
        <v>8</v>
      </c>
    </row>
    <row r="7" spans="1:8" x14ac:dyDescent="0.3">
      <c r="A7" s="39" t="s">
        <v>44</v>
      </c>
      <c r="B7" s="135" t="s">
        <v>396</v>
      </c>
      <c r="C7" s="41">
        <v>46094</v>
      </c>
      <c r="D7" s="39" t="s">
        <v>328</v>
      </c>
      <c r="E7" s="40">
        <v>15561</v>
      </c>
      <c r="F7" s="39" t="s">
        <v>397</v>
      </c>
      <c r="G7" s="39" t="s">
        <v>448</v>
      </c>
      <c r="H7" s="39" t="s">
        <v>18</v>
      </c>
    </row>
    <row r="8" spans="1:8" x14ac:dyDescent="0.3">
      <c r="A8" s="39" t="s">
        <v>358</v>
      </c>
      <c r="B8" s="135" t="s">
        <v>398</v>
      </c>
      <c r="C8" s="41">
        <v>46097</v>
      </c>
      <c r="D8" s="39" t="s">
        <v>220</v>
      </c>
      <c r="E8" s="40">
        <v>29640</v>
      </c>
      <c r="F8" s="39" t="s">
        <v>399</v>
      </c>
      <c r="G8" s="39" t="s">
        <v>400</v>
      </c>
      <c r="H8" s="39" t="s">
        <v>11</v>
      </c>
    </row>
    <row r="9" spans="1:8" x14ac:dyDescent="0.3">
      <c r="A9" s="39" t="s">
        <v>44</v>
      </c>
      <c r="B9" s="135" t="s">
        <v>401</v>
      </c>
      <c r="C9" s="41">
        <v>46097</v>
      </c>
      <c r="D9" s="39" t="s">
        <v>328</v>
      </c>
      <c r="E9" s="40">
        <v>20475</v>
      </c>
      <c r="F9" s="39" t="s">
        <v>402</v>
      </c>
      <c r="G9" s="39" t="s">
        <v>403</v>
      </c>
      <c r="H9" s="39" t="s">
        <v>8</v>
      </c>
    </row>
    <row r="10" spans="1:8" x14ac:dyDescent="0.3">
      <c r="A10" s="39" t="s">
        <v>39</v>
      </c>
      <c r="B10" s="135" t="s">
        <v>404</v>
      </c>
      <c r="C10" s="41">
        <v>46097</v>
      </c>
      <c r="D10" s="39" t="s">
        <v>328</v>
      </c>
      <c r="E10" s="40">
        <v>27526</v>
      </c>
      <c r="F10" s="39" t="s">
        <v>405</v>
      </c>
      <c r="H10" s="39" t="s">
        <v>15</v>
      </c>
    </row>
    <row r="11" spans="1:8" x14ac:dyDescent="0.3">
      <c r="A11" s="39" t="s">
        <v>38</v>
      </c>
      <c r="B11" s="135" t="s">
        <v>406</v>
      </c>
      <c r="C11" s="41">
        <v>46097</v>
      </c>
      <c r="D11" s="39" t="s">
        <v>328</v>
      </c>
      <c r="E11" s="40">
        <v>26799</v>
      </c>
      <c r="F11" s="39" t="s">
        <v>407</v>
      </c>
      <c r="H11" s="39" t="s">
        <v>15</v>
      </c>
    </row>
    <row r="12" spans="1:8" x14ac:dyDescent="0.3">
      <c r="A12" s="39" t="s">
        <v>44</v>
      </c>
      <c r="B12" s="135">
        <v>26100450</v>
      </c>
      <c r="C12" s="41">
        <v>46100</v>
      </c>
      <c r="D12" s="39" t="s">
        <v>328</v>
      </c>
      <c r="E12" s="40">
        <v>25636</v>
      </c>
      <c r="F12" s="39" t="s">
        <v>408</v>
      </c>
      <c r="G12" s="39" t="s">
        <v>409</v>
      </c>
      <c r="H12" s="39" t="s">
        <v>11</v>
      </c>
    </row>
    <row r="13" spans="1:8" x14ac:dyDescent="0.3">
      <c r="A13" s="39" t="s">
        <v>39</v>
      </c>
      <c r="B13" s="135" t="s">
        <v>410</v>
      </c>
      <c r="C13" s="41">
        <v>46101</v>
      </c>
      <c r="D13" s="39" t="s">
        <v>328</v>
      </c>
      <c r="E13" s="40">
        <v>30130</v>
      </c>
      <c r="F13" s="39" t="s">
        <v>411</v>
      </c>
      <c r="G13" s="50" t="s">
        <v>412</v>
      </c>
      <c r="H13" s="39" t="s">
        <v>11</v>
      </c>
    </row>
    <row r="14" spans="1:8" x14ac:dyDescent="0.3">
      <c r="A14" s="39" t="s">
        <v>39</v>
      </c>
      <c r="B14" s="135">
        <v>26101888</v>
      </c>
      <c r="C14" s="41">
        <v>46101</v>
      </c>
      <c r="D14" s="39" t="s">
        <v>413</v>
      </c>
      <c r="E14" s="40">
        <v>30517</v>
      </c>
      <c r="F14" s="39" t="s">
        <v>414</v>
      </c>
      <c r="G14" s="39" t="s">
        <v>415</v>
      </c>
      <c r="H14" s="39" t="s">
        <v>11</v>
      </c>
    </row>
    <row r="15" spans="1:8" x14ac:dyDescent="0.3">
      <c r="A15" s="39" t="s">
        <v>39</v>
      </c>
      <c r="B15" s="135" t="s">
        <v>416</v>
      </c>
      <c r="C15" s="41">
        <v>46101</v>
      </c>
      <c r="D15" s="39" t="s">
        <v>220</v>
      </c>
      <c r="E15" s="40">
        <v>24454</v>
      </c>
      <c r="F15" s="39" t="s">
        <v>417</v>
      </c>
      <c r="G15" s="50" t="s">
        <v>412</v>
      </c>
      <c r="H15" s="39" t="s">
        <v>11</v>
      </c>
    </row>
    <row r="16" spans="1:8" x14ac:dyDescent="0.3">
      <c r="A16" s="39" t="s">
        <v>38</v>
      </c>
      <c r="B16" s="135" t="s">
        <v>418</v>
      </c>
      <c r="C16" s="41">
        <v>46101</v>
      </c>
      <c r="D16" s="39" t="s">
        <v>220</v>
      </c>
      <c r="E16" s="40">
        <v>21339</v>
      </c>
      <c r="F16" s="39" t="s">
        <v>419</v>
      </c>
      <c r="G16" s="50" t="s">
        <v>412</v>
      </c>
      <c r="H16" s="39" t="s">
        <v>11</v>
      </c>
    </row>
    <row r="17" spans="1:8" x14ac:dyDescent="0.3">
      <c r="A17" s="39" t="s">
        <v>38</v>
      </c>
      <c r="B17" s="135">
        <v>26102097</v>
      </c>
      <c r="C17" s="41">
        <v>46101</v>
      </c>
      <c r="D17" s="39" t="s">
        <v>328</v>
      </c>
      <c r="E17" s="40">
        <v>6306</v>
      </c>
      <c r="F17" s="39" t="s">
        <v>420</v>
      </c>
      <c r="G17" s="50" t="s">
        <v>421</v>
      </c>
      <c r="H17" s="39" t="s">
        <v>8</v>
      </c>
    </row>
    <row r="18" spans="1:8" x14ac:dyDescent="0.3">
      <c r="A18" s="39" t="s">
        <v>44</v>
      </c>
      <c r="B18" s="135" t="s">
        <v>422</v>
      </c>
      <c r="C18" s="41">
        <v>46101</v>
      </c>
      <c r="D18" s="39" t="s">
        <v>328</v>
      </c>
      <c r="E18" s="40">
        <v>18689</v>
      </c>
      <c r="F18" s="39" t="s">
        <v>423</v>
      </c>
      <c r="H18" s="39" t="s">
        <v>8</v>
      </c>
    </row>
    <row r="19" spans="1:8" x14ac:dyDescent="0.3">
      <c r="A19" s="39" t="s">
        <v>44</v>
      </c>
      <c r="B19" s="135" t="s">
        <v>424</v>
      </c>
      <c r="C19" s="41">
        <v>46101</v>
      </c>
      <c r="D19" s="39" t="s">
        <v>224</v>
      </c>
      <c r="E19" s="40">
        <v>27094</v>
      </c>
      <c r="F19" s="39" t="s">
        <v>425</v>
      </c>
      <c r="H19" s="39" t="s">
        <v>11</v>
      </c>
    </row>
    <row r="20" spans="1:8" x14ac:dyDescent="0.3">
      <c r="A20" s="39" t="s">
        <v>44</v>
      </c>
      <c r="B20" s="135">
        <v>26103725</v>
      </c>
      <c r="C20" s="41">
        <v>46101</v>
      </c>
      <c r="D20" s="39" t="s">
        <v>330</v>
      </c>
      <c r="E20" s="40">
        <v>25581</v>
      </c>
      <c r="F20" s="39" t="s">
        <v>426</v>
      </c>
      <c r="H20" s="39" t="s">
        <v>11</v>
      </c>
    </row>
    <row r="21" spans="1:8" x14ac:dyDescent="0.3">
      <c r="A21" s="39" t="s">
        <v>44</v>
      </c>
      <c r="B21" s="135" t="s">
        <v>427</v>
      </c>
      <c r="C21" s="41">
        <v>46105</v>
      </c>
      <c r="D21" s="39" t="s">
        <v>328</v>
      </c>
      <c r="E21" s="40">
        <v>27531</v>
      </c>
      <c r="F21" s="39" t="s">
        <v>428</v>
      </c>
      <c r="G21" s="39" t="s">
        <v>509</v>
      </c>
      <c r="H21" s="39" t="s">
        <v>8</v>
      </c>
    </row>
    <row r="22" spans="1:8" x14ac:dyDescent="0.3">
      <c r="A22" s="39" t="s">
        <v>44</v>
      </c>
      <c r="B22" s="135" t="s">
        <v>429</v>
      </c>
      <c r="C22" s="41">
        <v>46105</v>
      </c>
      <c r="D22" s="39" t="s">
        <v>328</v>
      </c>
      <c r="E22" s="40">
        <v>18264</v>
      </c>
      <c r="F22" s="39" t="s">
        <v>430</v>
      </c>
      <c r="H22" s="39" t="s">
        <v>8</v>
      </c>
    </row>
    <row r="23" spans="1:8" x14ac:dyDescent="0.3">
      <c r="A23" s="39" t="s">
        <v>38</v>
      </c>
      <c r="B23" s="135" t="s">
        <v>431</v>
      </c>
      <c r="C23" s="41">
        <v>46105</v>
      </c>
      <c r="D23" s="39" t="s">
        <v>317</v>
      </c>
      <c r="E23" s="40">
        <v>23082</v>
      </c>
      <c r="F23" s="39" t="s">
        <v>432</v>
      </c>
      <c r="H23" s="39" t="s">
        <v>11</v>
      </c>
    </row>
    <row r="24" spans="1:8" x14ac:dyDescent="0.3">
      <c r="A24" s="39" t="s">
        <v>38</v>
      </c>
      <c r="B24" s="135">
        <v>106459</v>
      </c>
      <c r="C24" s="41">
        <v>46106</v>
      </c>
      <c r="D24" s="39" t="s">
        <v>339</v>
      </c>
      <c r="E24" s="40">
        <v>7672</v>
      </c>
      <c r="F24" s="39" t="s">
        <v>433</v>
      </c>
      <c r="G24" s="39" t="s">
        <v>434</v>
      </c>
      <c r="H24" s="39" t="s">
        <v>8</v>
      </c>
    </row>
    <row r="25" spans="1:8" x14ac:dyDescent="0.3">
      <c r="A25" s="39" t="s">
        <v>44</v>
      </c>
      <c r="B25" s="135" t="s">
        <v>435</v>
      </c>
      <c r="C25" s="41">
        <v>46107</v>
      </c>
      <c r="D25" s="39" t="s">
        <v>328</v>
      </c>
      <c r="E25" s="40">
        <v>18853</v>
      </c>
      <c r="F25" s="39" t="s">
        <v>436</v>
      </c>
      <c r="H25" s="39" t="s">
        <v>18</v>
      </c>
    </row>
    <row r="26" spans="1:8" x14ac:dyDescent="0.3">
      <c r="A26" s="39" t="s">
        <v>39</v>
      </c>
      <c r="B26" s="135" t="s">
        <v>437</v>
      </c>
      <c r="C26" s="41">
        <v>46107</v>
      </c>
      <c r="D26" s="39" t="s">
        <v>330</v>
      </c>
      <c r="E26" s="40">
        <v>30996</v>
      </c>
      <c r="F26" s="39" t="s">
        <v>438</v>
      </c>
      <c r="H26" s="39" t="s">
        <v>11</v>
      </c>
    </row>
    <row r="27" spans="1:8" x14ac:dyDescent="0.3">
      <c r="A27" s="39" t="s">
        <v>44</v>
      </c>
      <c r="B27" s="135" t="s">
        <v>439</v>
      </c>
      <c r="C27" s="41">
        <v>46107</v>
      </c>
      <c r="D27" s="39" t="s">
        <v>328</v>
      </c>
      <c r="E27" s="40">
        <v>22290</v>
      </c>
      <c r="F27" s="39" t="s">
        <v>440</v>
      </c>
      <c r="H27" s="39" t="s">
        <v>15</v>
      </c>
    </row>
    <row r="28" spans="1:8" x14ac:dyDescent="0.3">
      <c r="A28" s="39" t="s">
        <v>357</v>
      </c>
      <c r="B28" s="135" t="s">
        <v>441</v>
      </c>
      <c r="C28" s="41">
        <v>46108</v>
      </c>
      <c r="D28" s="39" t="s">
        <v>173</v>
      </c>
      <c r="E28" s="40">
        <v>28723</v>
      </c>
      <c r="F28" s="39" t="s">
        <v>442</v>
      </c>
      <c r="G28" s="39" t="s">
        <v>443</v>
      </c>
      <c r="H28" s="39" t="s">
        <v>18</v>
      </c>
    </row>
    <row r="29" spans="1:8" x14ac:dyDescent="0.3">
      <c r="A29" s="39" t="s">
        <v>44</v>
      </c>
      <c r="B29" s="135">
        <v>26107935</v>
      </c>
      <c r="C29" s="41">
        <v>46108</v>
      </c>
      <c r="D29" s="39" t="s">
        <v>317</v>
      </c>
      <c r="E29" s="40">
        <v>16868</v>
      </c>
      <c r="F29" s="39" t="s">
        <v>444</v>
      </c>
      <c r="G29" s="39" t="s">
        <v>510</v>
      </c>
      <c r="H29" s="39" t="s">
        <v>11</v>
      </c>
    </row>
    <row r="30" spans="1:8" x14ac:dyDescent="0.3">
      <c r="A30" s="39" t="s">
        <v>44</v>
      </c>
      <c r="B30" s="135">
        <v>26108289</v>
      </c>
      <c r="C30" s="41">
        <v>46111</v>
      </c>
      <c r="D30" s="39" t="s">
        <v>220</v>
      </c>
      <c r="E30" s="40">
        <v>18622</v>
      </c>
      <c r="F30" s="39" t="s">
        <v>445</v>
      </c>
      <c r="H30" s="39" t="s">
        <v>11</v>
      </c>
    </row>
    <row r="31" spans="1:8" x14ac:dyDescent="0.3">
      <c r="A31" s="39" t="s">
        <v>44</v>
      </c>
      <c r="B31" s="135" t="s">
        <v>446</v>
      </c>
      <c r="C31" s="41">
        <v>46111</v>
      </c>
      <c r="D31" s="39" t="s">
        <v>173</v>
      </c>
      <c r="E31" s="40">
        <v>29065</v>
      </c>
      <c r="F31" s="39" t="s">
        <v>447</v>
      </c>
      <c r="G31" s="39" t="s">
        <v>593</v>
      </c>
      <c r="H31" s="39" t="s">
        <v>11</v>
      </c>
    </row>
    <row r="32" spans="1:8" ht="15" customHeight="1" x14ac:dyDescent="0.3">
      <c r="A32" s="39" t="s">
        <v>44</v>
      </c>
      <c r="B32" s="135" t="s">
        <v>363</v>
      </c>
      <c r="C32" s="41">
        <v>46113</v>
      </c>
      <c r="D32" s="39" t="s">
        <v>328</v>
      </c>
      <c r="E32" s="40">
        <v>30115</v>
      </c>
      <c r="F32" s="39" t="s">
        <v>364</v>
      </c>
      <c r="H32" s="39" t="s">
        <v>8</v>
      </c>
    </row>
    <row r="33" spans="1:8" ht="15" customHeight="1" x14ac:dyDescent="0.3">
      <c r="A33" s="39" t="s">
        <v>44</v>
      </c>
      <c r="B33" s="135" t="s">
        <v>365</v>
      </c>
      <c r="C33" s="41">
        <v>46113</v>
      </c>
      <c r="D33" s="39" t="s">
        <v>328</v>
      </c>
      <c r="E33" s="40">
        <v>23683</v>
      </c>
      <c r="F33" s="39" t="s">
        <v>366</v>
      </c>
      <c r="H33" s="39" t="s">
        <v>8</v>
      </c>
    </row>
    <row r="34" spans="1:8" ht="15" customHeight="1" x14ac:dyDescent="0.3">
      <c r="A34" s="39" t="s">
        <v>44</v>
      </c>
      <c r="B34" s="135" t="s">
        <v>367</v>
      </c>
      <c r="C34" s="41">
        <v>46113</v>
      </c>
      <c r="D34" s="39" t="s">
        <v>317</v>
      </c>
      <c r="E34" s="40">
        <v>28992</v>
      </c>
      <c r="F34" s="39" t="s">
        <v>368</v>
      </c>
      <c r="H34" s="39" t="s">
        <v>8</v>
      </c>
    </row>
    <row r="35" spans="1:8" ht="15" customHeight="1" x14ac:dyDescent="0.3">
      <c r="A35" s="39" t="s">
        <v>44</v>
      </c>
      <c r="B35" s="135" t="s">
        <v>369</v>
      </c>
      <c r="C35" s="41">
        <v>46113</v>
      </c>
      <c r="D35" s="39" t="s">
        <v>220</v>
      </c>
      <c r="E35" s="40">
        <v>30515</v>
      </c>
      <c r="F35" s="39" t="s">
        <v>370</v>
      </c>
      <c r="H35" s="39" t="s">
        <v>11</v>
      </c>
    </row>
    <row r="36" spans="1:8" ht="15" customHeight="1" x14ac:dyDescent="0.3">
      <c r="A36" s="39" t="s">
        <v>44</v>
      </c>
      <c r="B36" s="135" t="s">
        <v>371</v>
      </c>
      <c r="C36" s="41">
        <v>46113</v>
      </c>
      <c r="D36" s="39" t="s">
        <v>220</v>
      </c>
      <c r="E36" s="40">
        <v>26618</v>
      </c>
      <c r="F36" s="39" t="s">
        <v>372</v>
      </c>
      <c r="H36" s="39" t="s">
        <v>8</v>
      </c>
    </row>
    <row r="37" spans="1:8" ht="15" customHeight="1" x14ac:dyDescent="0.3">
      <c r="A37" s="39" t="s">
        <v>44</v>
      </c>
      <c r="B37" s="135">
        <v>26110580</v>
      </c>
      <c r="C37" s="41">
        <v>46113</v>
      </c>
      <c r="D37" s="39" t="s">
        <v>328</v>
      </c>
      <c r="E37" s="40">
        <v>12384</v>
      </c>
      <c r="F37" s="39" t="s">
        <v>373</v>
      </c>
      <c r="H37" s="39" t="s">
        <v>18</v>
      </c>
    </row>
    <row r="38" spans="1:8" ht="15" customHeight="1" x14ac:dyDescent="0.3">
      <c r="A38" s="39" t="s">
        <v>44</v>
      </c>
      <c r="B38" s="135">
        <v>26111052</v>
      </c>
      <c r="C38" s="41">
        <v>46113</v>
      </c>
      <c r="D38" s="39" t="s">
        <v>328</v>
      </c>
      <c r="E38" s="40">
        <v>26268</v>
      </c>
      <c r="F38" s="39" t="s">
        <v>374</v>
      </c>
      <c r="H38" s="39" t="s">
        <v>18</v>
      </c>
    </row>
    <row r="39" spans="1:8" ht="15" customHeight="1" x14ac:dyDescent="0.3">
      <c r="A39" s="39" t="s">
        <v>44</v>
      </c>
      <c r="B39" s="135" t="s">
        <v>375</v>
      </c>
      <c r="C39" s="41">
        <v>46113</v>
      </c>
      <c r="D39" s="39" t="s">
        <v>328</v>
      </c>
      <c r="E39" s="40">
        <v>23737</v>
      </c>
      <c r="F39" s="39" t="s">
        <v>376</v>
      </c>
      <c r="H39" s="39" t="s">
        <v>8</v>
      </c>
    </row>
    <row r="40" spans="1:8" ht="15" customHeight="1" x14ac:dyDescent="0.3">
      <c r="A40" s="39" t="s">
        <v>44</v>
      </c>
      <c r="B40" s="135" t="s">
        <v>379</v>
      </c>
      <c r="C40" s="41">
        <v>46113</v>
      </c>
      <c r="D40" s="39" t="s">
        <v>328</v>
      </c>
      <c r="E40" s="40">
        <v>23737</v>
      </c>
      <c r="F40" s="39" t="s">
        <v>376</v>
      </c>
      <c r="H40" s="39" t="s">
        <v>8</v>
      </c>
    </row>
    <row r="41" spans="1:8" ht="15" customHeight="1" x14ac:dyDescent="0.3">
      <c r="A41" s="39" t="s">
        <v>43</v>
      </c>
      <c r="B41" s="135" t="s">
        <v>377</v>
      </c>
      <c r="C41" s="41">
        <v>46113</v>
      </c>
      <c r="D41" s="39" t="s">
        <v>317</v>
      </c>
      <c r="E41" s="40">
        <v>28337</v>
      </c>
      <c r="F41" s="39" t="s">
        <v>378</v>
      </c>
      <c r="H41" s="39" t="s">
        <v>18</v>
      </c>
    </row>
    <row r="42" spans="1:8" ht="15" customHeight="1" x14ac:dyDescent="0.3">
      <c r="A42" s="39" t="s">
        <v>44</v>
      </c>
      <c r="B42" s="135" t="s">
        <v>380</v>
      </c>
      <c r="C42" s="41">
        <v>46113</v>
      </c>
      <c r="D42" s="39" t="s">
        <v>328</v>
      </c>
      <c r="E42" s="40">
        <v>12661</v>
      </c>
      <c r="F42" s="39" t="s">
        <v>381</v>
      </c>
      <c r="H42" s="39" t="s">
        <v>8</v>
      </c>
    </row>
    <row r="43" spans="1:8" ht="15" customHeight="1" x14ac:dyDescent="0.3">
      <c r="A43" s="39" t="s">
        <v>44</v>
      </c>
      <c r="B43" s="135" t="s">
        <v>382</v>
      </c>
      <c r="C43" s="41">
        <v>46113</v>
      </c>
      <c r="D43" s="39" t="s">
        <v>322</v>
      </c>
      <c r="E43" s="40">
        <v>8235</v>
      </c>
      <c r="F43" s="39" t="s">
        <v>383</v>
      </c>
      <c r="H43" s="39" t="s">
        <v>8</v>
      </c>
    </row>
    <row r="44" spans="1:8" ht="15" customHeight="1" x14ac:dyDescent="0.3">
      <c r="A44" s="39" t="s">
        <v>43</v>
      </c>
      <c r="B44" s="135" t="s">
        <v>449</v>
      </c>
      <c r="C44" s="41">
        <v>46113</v>
      </c>
      <c r="D44" s="39" t="s">
        <v>328</v>
      </c>
      <c r="E44" s="40">
        <v>20475</v>
      </c>
      <c r="F44" s="39" t="s">
        <v>402</v>
      </c>
      <c r="H44" s="39" t="s">
        <v>8</v>
      </c>
    </row>
    <row r="45" spans="1:8" ht="15" customHeight="1" x14ac:dyDescent="0.3">
      <c r="A45" s="39" t="s">
        <v>44</v>
      </c>
      <c r="B45" s="135" t="s">
        <v>451</v>
      </c>
      <c r="C45" s="41">
        <v>46114</v>
      </c>
      <c r="D45" s="39" t="s">
        <v>328</v>
      </c>
      <c r="E45" s="40">
        <v>24694</v>
      </c>
      <c r="F45" s="39" t="s">
        <v>452</v>
      </c>
      <c r="H45" s="39" t="s">
        <v>15</v>
      </c>
    </row>
    <row r="46" spans="1:8" ht="15" customHeight="1" x14ac:dyDescent="0.3">
      <c r="A46" s="39" t="s">
        <v>44</v>
      </c>
      <c r="B46" s="135" t="s">
        <v>453</v>
      </c>
      <c r="C46" s="41">
        <v>46114</v>
      </c>
      <c r="D46" s="39" t="s">
        <v>328</v>
      </c>
      <c r="E46" s="40">
        <v>18267</v>
      </c>
      <c r="F46" s="39" t="s">
        <v>454</v>
      </c>
      <c r="H46" s="39" t="s">
        <v>11</v>
      </c>
    </row>
    <row r="47" spans="1:8" x14ac:dyDescent="0.3">
      <c r="A47" s="39" t="s">
        <v>39</v>
      </c>
      <c r="B47" s="135" t="s">
        <v>455</v>
      </c>
      <c r="C47" s="41">
        <v>46114</v>
      </c>
      <c r="D47" s="39" t="s">
        <v>330</v>
      </c>
      <c r="E47" s="40">
        <v>25382</v>
      </c>
      <c r="F47" s="39" t="s">
        <v>456</v>
      </c>
      <c r="H47" s="39" t="s">
        <v>11</v>
      </c>
    </row>
    <row r="48" spans="1:8" x14ac:dyDescent="0.3">
      <c r="A48" s="39" t="s">
        <v>44</v>
      </c>
      <c r="B48" s="135" t="s">
        <v>457</v>
      </c>
      <c r="C48" s="41">
        <v>46114</v>
      </c>
      <c r="D48" s="39" t="s">
        <v>330</v>
      </c>
      <c r="E48" s="40">
        <v>29157</v>
      </c>
      <c r="F48" s="39" t="s">
        <v>458</v>
      </c>
      <c r="G48" s="39" t="s">
        <v>459</v>
      </c>
    </row>
    <row r="49" spans="1:8" x14ac:dyDescent="0.3">
      <c r="A49" s="39" t="s">
        <v>45</v>
      </c>
      <c r="B49" s="135">
        <v>26110894</v>
      </c>
      <c r="C49" s="41">
        <v>46114</v>
      </c>
      <c r="D49" s="39" t="s">
        <v>328</v>
      </c>
      <c r="F49" s="39" t="s">
        <v>460</v>
      </c>
      <c r="H49" s="39" t="s">
        <v>15</v>
      </c>
    </row>
    <row r="50" spans="1:8" x14ac:dyDescent="0.3">
      <c r="A50" s="39" t="s">
        <v>44</v>
      </c>
      <c r="B50" s="135" t="s">
        <v>461</v>
      </c>
      <c r="C50" s="41">
        <v>46114</v>
      </c>
      <c r="D50" s="39" t="s">
        <v>326</v>
      </c>
      <c r="E50" s="40">
        <v>18342</v>
      </c>
      <c r="F50" s="39" t="s">
        <v>462</v>
      </c>
      <c r="H50" s="39" t="s">
        <v>15</v>
      </c>
    </row>
    <row r="51" spans="1:8" x14ac:dyDescent="0.3">
      <c r="A51" s="39" t="s">
        <v>44</v>
      </c>
      <c r="B51" s="135">
        <v>26113465</v>
      </c>
      <c r="C51" s="41">
        <v>46114</v>
      </c>
      <c r="D51" s="39" t="s">
        <v>224</v>
      </c>
      <c r="E51" s="40">
        <v>24350</v>
      </c>
      <c r="F51" s="39" t="s">
        <v>463</v>
      </c>
      <c r="H51" s="39" t="s">
        <v>8</v>
      </c>
    </row>
    <row r="52" spans="1:8" x14ac:dyDescent="0.3">
      <c r="A52" s="39" t="s">
        <v>44</v>
      </c>
      <c r="B52" s="135">
        <v>26113829</v>
      </c>
      <c r="C52" s="41">
        <v>46114</v>
      </c>
      <c r="D52" s="39" t="s">
        <v>328</v>
      </c>
      <c r="E52" s="40">
        <v>29332</v>
      </c>
      <c r="F52" s="39" t="s">
        <v>464</v>
      </c>
      <c r="H52" s="39" t="s">
        <v>11</v>
      </c>
    </row>
    <row r="53" spans="1:8" x14ac:dyDescent="0.3">
      <c r="A53" s="39" t="s">
        <v>44</v>
      </c>
      <c r="B53" s="135">
        <v>26113833</v>
      </c>
      <c r="C53" s="41">
        <v>46114</v>
      </c>
      <c r="D53" s="39" t="s">
        <v>328</v>
      </c>
      <c r="E53" s="40">
        <v>28565</v>
      </c>
      <c r="F53" s="39" t="s">
        <v>464</v>
      </c>
      <c r="H53" s="39" t="s">
        <v>11</v>
      </c>
    </row>
    <row r="54" spans="1:8" x14ac:dyDescent="0.3">
      <c r="A54" s="39" t="s">
        <v>44</v>
      </c>
      <c r="B54" s="135">
        <v>26113849</v>
      </c>
      <c r="C54" s="41">
        <v>46114</v>
      </c>
      <c r="D54" s="39" t="s">
        <v>328</v>
      </c>
      <c r="E54" s="40">
        <v>22716</v>
      </c>
      <c r="F54" s="39" t="s">
        <v>464</v>
      </c>
      <c r="G54" s="39" t="s">
        <v>513</v>
      </c>
      <c r="H54" s="39" t="s">
        <v>11</v>
      </c>
    </row>
    <row r="55" spans="1:8" x14ac:dyDescent="0.3">
      <c r="A55" s="39" t="s">
        <v>44</v>
      </c>
      <c r="B55" s="135">
        <v>26114514</v>
      </c>
      <c r="C55" s="41">
        <v>46114</v>
      </c>
      <c r="D55" s="39" t="s">
        <v>318</v>
      </c>
      <c r="E55" s="40">
        <v>22286</v>
      </c>
      <c r="F55" s="39" t="s">
        <v>465</v>
      </c>
      <c r="H55" s="39" t="s">
        <v>11</v>
      </c>
    </row>
    <row r="56" spans="1:8" x14ac:dyDescent="0.3">
      <c r="A56" s="39" t="s">
        <v>44</v>
      </c>
      <c r="B56" s="135" t="s">
        <v>466</v>
      </c>
      <c r="C56" s="41">
        <v>46118</v>
      </c>
      <c r="D56" s="39" t="s">
        <v>328</v>
      </c>
      <c r="E56" s="40">
        <v>30497</v>
      </c>
      <c r="F56" s="39" t="s">
        <v>467</v>
      </c>
      <c r="H56" s="39" t="s">
        <v>8</v>
      </c>
    </row>
    <row r="57" spans="1:8" x14ac:dyDescent="0.3">
      <c r="A57" s="39" t="s">
        <v>44</v>
      </c>
      <c r="B57" s="135" t="s">
        <v>468</v>
      </c>
      <c r="C57" s="41">
        <v>46118</v>
      </c>
      <c r="D57" s="39" t="s">
        <v>328</v>
      </c>
      <c r="E57" s="40">
        <v>17250</v>
      </c>
      <c r="F57" s="39" t="s">
        <v>469</v>
      </c>
      <c r="H57" s="39" t="s">
        <v>8</v>
      </c>
    </row>
    <row r="58" spans="1:8" x14ac:dyDescent="0.3">
      <c r="A58" s="39" t="s">
        <v>44</v>
      </c>
      <c r="B58" s="135">
        <v>26114596</v>
      </c>
      <c r="C58" s="41">
        <v>46118</v>
      </c>
      <c r="D58" s="39" t="s">
        <v>328</v>
      </c>
      <c r="E58" s="40">
        <v>29421</v>
      </c>
      <c r="F58" s="39" t="s">
        <v>470</v>
      </c>
      <c r="H58" s="39" t="s">
        <v>8</v>
      </c>
    </row>
    <row r="59" spans="1:8" x14ac:dyDescent="0.3">
      <c r="A59" s="39" t="s">
        <v>44</v>
      </c>
      <c r="B59" s="135" t="s">
        <v>471</v>
      </c>
      <c r="C59" s="41">
        <v>46118</v>
      </c>
      <c r="D59" s="39" t="s">
        <v>315</v>
      </c>
      <c r="E59" s="40">
        <v>30260</v>
      </c>
      <c r="F59" s="39" t="s">
        <v>473</v>
      </c>
      <c r="G59" s="39" t="s">
        <v>472</v>
      </c>
      <c r="H59" s="39" t="s">
        <v>11</v>
      </c>
    </row>
    <row r="60" spans="1:8" x14ac:dyDescent="0.3">
      <c r="A60" s="39" t="s">
        <v>44</v>
      </c>
      <c r="B60" s="135" t="s">
        <v>474</v>
      </c>
      <c r="C60" s="41">
        <v>46118</v>
      </c>
      <c r="D60" s="39" t="s">
        <v>315</v>
      </c>
      <c r="E60" s="40">
        <v>27461</v>
      </c>
      <c r="F60" s="39" t="s">
        <v>475</v>
      </c>
      <c r="H60" s="39" t="s">
        <v>8</v>
      </c>
    </row>
    <row r="61" spans="1:8" x14ac:dyDescent="0.3">
      <c r="A61" s="39" t="s">
        <v>39</v>
      </c>
      <c r="B61" s="135" t="s">
        <v>476</v>
      </c>
      <c r="C61" s="41">
        <v>46118</v>
      </c>
      <c r="D61" s="39" t="s">
        <v>317</v>
      </c>
      <c r="E61" s="40">
        <v>28956</v>
      </c>
      <c r="F61" s="39" t="s">
        <v>495</v>
      </c>
      <c r="G61" s="42"/>
      <c r="H61" s="39" t="s">
        <v>11</v>
      </c>
    </row>
    <row r="62" spans="1:8" x14ac:dyDescent="0.3">
      <c r="A62" s="39" t="s">
        <v>39</v>
      </c>
      <c r="B62" s="135" t="s">
        <v>477</v>
      </c>
      <c r="C62" s="41">
        <v>46118</v>
      </c>
      <c r="D62" s="39" t="s">
        <v>315</v>
      </c>
      <c r="E62" s="40">
        <v>10842</v>
      </c>
      <c r="F62" s="39" t="s">
        <v>478</v>
      </c>
      <c r="G62" s="50" t="s">
        <v>638</v>
      </c>
      <c r="H62" s="39" t="s">
        <v>11</v>
      </c>
    </row>
    <row r="63" spans="1:8" x14ac:dyDescent="0.3">
      <c r="A63" s="39" t="s">
        <v>44</v>
      </c>
      <c r="B63" s="136">
        <v>26116052</v>
      </c>
      <c r="C63" s="41">
        <v>46118</v>
      </c>
      <c r="D63" s="39" t="s">
        <v>224</v>
      </c>
      <c r="E63" s="40">
        <v>24792</v>
      </c>
      <c r="F63" t="s">
        <v>479</v>
      </c>
      <c r="H63" s="39" t="s">
        <v>8</v>
      </c>
    </row>
    <row r="64" spans="1:8" x14ac:dyDescent="0.3">
      <c r="A64" s="39" t="s">
        <v>44</v>
      </c>
      <c r="B64" s="136" t="s">
        <v>480</v>
      </c>
      <c r="C64" s="41">
        <v>46118</v>
      </c>
      <c r="D64" s="39" t="s">
        <v>224</v>
      </c>
      <c r="E64" s="40">
        <v>26130</v>
      </c>
      <c r="F64" s="39" t="s">
        <v>496</v>
      </c>
      <c r="G64" s="39" t="s">
        <v>481</v>
      </c>
      <c r="H64" s="39" t="s">
        <v>8</v>
      </c>
    </row>
    <row r="65" spans="1:8" x14ac:dyDescent="0.3">
      <c r="A65" s="39" t="s">
        <v>44</v>
      </c>
      <c r="B65" s="136" t="s">
        <v>482</v>
      </c>
      <c r="C65" s="41">
        <v>46118</v>
      </c>
      <c r="D65" s="39" t="s">
        <v>328</v>
      </c>
      <c r="E65" s="40">
        <v>16425</v>
      </c>
      <c r="F65" t="s">
        <v>483</v>
      </c>
      <c r="H65" s="39" t="s">
        <v>18</v>
      </c>
    </row>
    <row r="66" spans="1:8" x14ac:dyDescent="0.3">
      <c r="A66" s="39" t="s">
        <v>44</v>
      </c>
      <c r="B66" s="136" t="s">
        <v>484</v>
      </c>
      <c r="C66" s="41">
        <v>46118</v>
      </c>
      <c r="D66" s="39" t="s">
        <v>339</v>
      </c>
      <c r="E66" s="40">
        <v>22797</v>
      </c>
      <c r="F66" s="43" t="s">
        <v>485</v>
      </c>
      <c r="G66" s="39" t="s">
        <v>486</v>
      </c>
      <c r="H66" s="39" t="s">
        <v>11</v>
      </c>
    </row>
    <row r="67" spans="1:8" x14ac:dyDescent="0.3">
      <c r="A67" s="39" t="s">
        <v>44</v>
      </c>
      <c r="B67" s="136" t="s">
        <v>487</v>
      </c>
      <c r="C67" s="41">
        <v>46118</v>
      </c>
      <c r="D67" s="39" t="s">
        <v>328</v>
      </c>
      <c r="E67" s="40">
        <v>30130</v>
      </c>
      <c r="F67" t="s">
        <v>488</v>
      </c>
      <c r="H67" s="39" t="s">
        <v>11</v>
      </c>
    </row>
    <row r="68" spans="1:8" x14ac:dyDescent="0.3">
      <c r="A68" s="39" t="s">
        <v>44</v>
      </c>
      <c r="B68" s="136" t="s">
        <v>489</v>
      </c>
      <c r="C68" s="41">
        <v>46118</v>
      </c>
      <c r="D68" s="39" t="s">
        <v>328</v>
      </c>
      <c r="E68" s="40">
        <v>29798</v>
      </c>
      <c r="F68" t="s">
        <v>490</v>
      </c>
      <c r="G68" s="39" t="s">
        <v>491</v>
      </c>
      <c r="H68" s="39" t="s">
        <v>8</v>
      </c>
    </row>
    <row r="69" spans="1:8" x14ac:dyDescent="0.3">
      <c r="A69" s="39" t="s">
        <v>44</v>
      </c>
      <c r="B69" s="136" t="s">
        <v>492</v>
      </c>
      <c r="C69" s="41">
        <v>46118</v>
      </c>
      <c r="D69" s="39" t="s">
        <v>339</v>
      </c>
      <c r="E69" s="40">
        <v>21675</v>
      </c>
      <c r="F69" t="s">
        <v>493</v>
      </c>
      <c r="H69" s="39" t="s">
        <v>8</v>
      </c>
    </row>
    <row r="70" spans="1:8" x14ac:dyDescent="0.3">
      <c r="A70" s="39" t="s">
        <v>43</v>
      </c>
      <c r="B70" s="135" t="s">
        <v>494</v>
      </c>
      <c r="C70" s="41">
        <v>46118</v>
      </c>
      <c r="D70" s="39" t="s">
        <v>328</v>
      </c>
      <c r="E70" s="40">
        <v>29421</v>
      </c>
      <c r="F70" s="39" t="s">
        <v>470</v>
      </c>
      <c r="H70" s="39" t="s">
        <v>12</v>
      </c>
    </row>
    <row r="71" spans="1:8" x14ac:dyDescent="0.3">
      <c r="A71" s="39" t="s">
        <v>45</v>
      </c>
      <c r="B71" s="135" t="s">
        <v>497</v>
      </c>
      <c r="C71" s="41">
        <v>46118</v>
      </c>
      <c r="D71" s="39" t="s">
        <v>328</v>
      </c>
      <c r="E71" s="40">
        <v>27936</v>
      </c>
      <c r="F71" s="39" t="s">
        <v>498</v>
      </c>
      <c r="H71" s="39" t="s">
        <v>15</v>
      </c>
    </row>
    <row r="72" spans="1:8" ht="15" customHeight="1" x14ac:dyDescent="0.3">
      <c r="A72" s="39" t="s">
        <v>44</v>
      </c>
      <c r="B72" s="135" t="s">
        <v>371</v>
      </c>
      <c r="C72" s="41">
        <v>46118</v>
      </c>
      <c r="D72" s="39" t="s">
        <v>220</v>
      </c>
      <c r="E72" s="40">
        <v>26618</v>
      </c>
      <c r="F72" s="39" t="s">
        <v>372</v>
      </c>
      <c r="H72" s="39" t="s">
        <v>8</v>
      </c>
    </row>
    <row r="73" spans="1:8" x14ac:dyDescent="0.3">
      <c r="A73" s="39" t="s">
        <v>44</v>
      </c>
      <c r="B73" s="135" t="s">
        <v>371</v>
      </c>
      <c r="C73" s="41">
        <v>46118</v>
      </c>
      <c r="D73" s="39" t="s">
        <v>220</v>
      </c>
      <c r="E73" s="40">
        <v>26014</v>
      </c>
      <c r="F73" s="39" t="s">
        <v>499</v>
      </c>
      <c r="H73" s="39" t="s">
        <v>8</v>
      </c>
    </row>
    <row r="74" spans="1:8" x14ac:dyDescent="0.3">
      <c r="A74" s="39" t="s">
        <v>44</v>
      </c>
      <c r="B74" s="136" t="s">
        <v>371</v>
      </c>
      <c r="C74" s="41">
        <v>46118</v>
      </c>
      <c r="D74" s="39" t="s">
        <v>220</v>
      </c>
      <c r="E74" s="40">
        <v>26471</v>
      </c>
      <c r="F74" s="39" t="s">
        <v>500</v>
      </c>
      <c r="H74" s="39" t="s">
        <v>8</v>
      </c>
    </row>
    <row r="75" spans="1:8" x14ac:dyDescent="0.3">
      <c r="A75" s="39" t="s">
        <v>44</v>
      </c>
      <c r="B75" s="136">
        <v>121178</v>
      </c>
      <c r="C75" s="41">
        <v>46118</v>
      </c>
      <c r="D75" s="39" t="s">
        <v>339</v>
      </c>
      <c r="E75" s="40">
        <v>24358</v>
      </c>
      <c r="F75" s="43" t="s">
        <v>500</v>
      </c>
      <c r="G75" s="39" t="s">
        <v>501</v>
      </c>
      <c r="H75" s="39" t="s">
        <v>8</v>
      </c>
    </row>
    <row r="76" spans="1:8" x14ac:dyDescent="0.3">
      <c r="A76" s="39" t="s">
        <v>44</v>
      </c>
      <c r="B76" s="136" t="s">
        <v>502</v>
      </c>
      <c r="C76" s="41">
        <v>45754</v>
      </c>
      <c r="D76" s="39" t="s">
        <v>351</v>
      </c>
      <c r="E76" s="40">
        <v>33646</v>
      </c>
      <c r="F76" t="s">
        <v>503</v>
      </c>
      <c r="H76" s="39" t="s">
        <v>7</v>
      </c>
    </row>
    <row r="77" spans="1:8" x14ac:dyDescent="0.3">
      <c r="A77" s="39" t="s">
        <v>44</v>
      </c>
      <c r="B77" s="136" t="s">
        <v>504</v>
      </c>
      <c r="C77" s="41">
        <v>45754</v>
      </c>
      <c r="D77" s="39" t="s">
        <v>351</v>
      </c>
      <c r="E77" s="40">
        <v>40063</v>
      </c>
      <c r="F77" s="43" t="s">
        <v>505</v>
      </c>
      <c r="H77" s="39" t="s">
        <v>7</v>
      </c>
    </row>
    <row r="78" spans="1:8" x14ac:dyDescent="0.3">
      <c r="A78" s="39" t="s">
        <v>44</v>
      </c>
      <c r="B78" s="136">
        <v>26109439</v>
      </c>
      <c r="C78" s="41">
        <v>45754</v>
      </c>
      <c r="D78" s="39" t="s">
        <v>351</v>
      </c>
      <c r="E78" s="40">
        <v>44202</v>
      </c>
      <c r="F78" s="39" t="s">
        <v>506</v>
      </c>
      <c r="H78" s="39" t="s">
        <v>7</v>
      </c>
    </row>
    <row r="79" spans="1:8" x14ac:dyDescent="0.3">
      <c r="A79" s="39" t="s">
        <v>39</v>
      </c>
      <c r="B79" s="136">
        <v>26112778</v>
      </c>
      <c r="C79" s="41">
        <v>45754</v>
      </c>
      <c r="D79" s="39" t="s">
        <v>351</v>
      </c>
      <c r="E79" s="40">
        <v>32067</v>
      </c>
      <c r="F79" s="39" t="s">
        <v>507</v>
      </c>
      <c r="H79" s="39" t="s">
        <v>7</v>
      </c>
    </row>
    <row r="80" spans="1:8" x14ac:dyDescent="0.3">
      <c r="A80" s="39" t="s">
        <v>39</v>
      </c>
      <c r="B80" s="136">
        <v>26122077</v>
      </c>
      <c r="C80" s="41">
        <v>45754</v>
      </c>
      <c r="D80" s="39" t="s">
        <v>351</v>
      </c>
      <c r="E80" s="40">
        <v>44714</v>
      </c>
      <c r="F80" s="39" t="s">
        <v>508</v>
      </c>
      <c r="H80" s="39" t="s">
        <v>7</v>
      </c>
    </row>
    <row r="81" spans="1:8" x14ac:dyDescent="0.3">
      <c r="A81" s="39" t="s">
        <v>44</v>
      </c>
      <c r="B81" s="136" t="s">
        <v>511</v>
      </c>
      <c r="C81" s="41">
        <v>46119</v>
      </c>
      <c r="D81" s="39" t="s">
        <v>328</v>
      </c>
      <c r="E81" s="40">
        <v>16220</v>
      </c>
      <c r="F81" s="43" t="s">
        <v>512</v>
      </c>
      <c r="H81" s="39" t="s">
        <v>8</v>
      </c>
    </row>
    <row r="82" spans="1:8" x14ac:dyDescent="0.3">
      <c r="A82" s="39" t="s">
        <v>44</v>
      </c>
      <c r="B82" s="137" t="s">
        <v>514</v>
      </c>
      <c r="C82" s="41">
        <v>46119</v>
      </c>
      <c r="D82" s="39" t="s">
        <v>328</v>
      </c>
      <c r="E82" s="40">
        <v>26655</v>
      </c>
      <c r="F82" s="43" t="s">
        <v>515</v>
      </c>
      <c r="H82" s="39" t="s">
        <v>11</v>
      </c>
    </row>
    <row r="83" spans="1:8" x14ac:dyDescent="0.3">
      <c r="A83" s="39" t="s">
        <v>44</v>
      </c>
      <c r="B83" s="137">
        <v>117443</v>
      </c>
      <c r="C83" s="41">
        <v>46119</v>
      </c>
      <c r="D83" s="39" t="s">
        <v>328</v>
      </c>
      <c r="E83" s="40">
        <v>17747</v>
      </c>
      <c r="F83" t="s">
        <v>516</v>
      </c>
      <c r="H83" s="39" t="s">
        <v>8</v>
      </c>
    </row>
    <row r="84" spans="1:8" x14ac:dyDescent="0.3">
      <c r="A84" s="39" t="s">
        <v>44</v>
      </c>
      <c r="B84" s="135">
        <v>117463</v>
      </c>
      <c r="C84" s="41">
        <v>46119</v>
      </c>
      <c r="D84" s="39" t="s">
        <v>328</v>
      </c>
      <c r="E84" s="40">
        <v>12262</v>
      </c>
      <c r="F84" s="39" t="s">
        <v>517</v>
      </c>
      <c r="H84" s="39" t="s">
        <v>8</v>
      </c>
    </row>
    <row r="85" spans="1:8" x14ac:dyDescent="0.3">
      <c r="A85" s="39" t="s">
        <v>44</v>
      </c>
      <c r="B85" s="137">
        <v>118151</v>
      </c>
      <c r="C85" s="41">
        <v>46119</v>
      </c>
      <c r="D85" s="39" t="s">
        <v>313</v>
      </c>
      <c r="E85" s="40">
        <v>27958</v>
      </c>
      <c r="F85" s="39" t="s">
        <v>518</v>
      </c>
      <c r="H85" s="39" t="s">
        <v>11</v>
      </c>
    </row>
    <row r="86" spans="1:8" x14ac:dyDescent="0.3">
      <c r="A86" s="39" t="s">
        <v>44</v>
      </c>
      <c r="B86" s="136" t="s">
        <v>492</v>
      </c>
      <c r="C86" s="41">
        <v>46119</v>
      </c>
      <c r="D86" s="39" t="s">
        <v>220</v>
      </c>
      <c r="E86" s="40">
        <v>21675</v>
      </c>
      <c r="F86" s="39" t="s">
        <v>493</v>
      </c>
      <c r="G86" s="39" t="s">
        <v>519</v>
      </c>
      <c r="H86" s="39" t="s">
        <v>8</v>
      </c>
    </row>
    <row r="87" spans="1:8" x14ac:dyDescent="0.3">
      <c r="A87" s="39" t="s">
        <v>44</v>
      </c>
      <c r="B87" s="136" t="s">
        <v>520</v>
      </c>
      <c r="C87" s="41">
        <v>46119</v>
      </c>
      <c r="D87" s="39" t="s">
        <v>220</v>
      </c>
      <c r="E87" s="40">
        <v>30283</v>
      </c>
      <c r="F87" t="s">
        <v>521</v>
      </c>
      <c r="H87" s="39" t="s">
        <v>11</v>
      </c>
    </row>
    <row r="88" spans="1:8" x14ac:dyDescent="0.3">
      <c r="A88" s="39" t="s">
        <v>44</v>
      </c>
      <c r="B88" s="135" t="s">
        <v>522</v>
      </c>
      <c r="C88" s="41">
        <v>46119</v>
      </c>
      <c r="D88" s="39" t="s">
        <v>328</v>
      </c>
      <c r="E88" s="40">
        <v>8565</v>
      </c>
      <c r="F88" s="39" t="s">
        <v>523</v>
      </c>
      <c r="G88" s="39" t="s">
        <v>594</v>
      </c>
      <c r="H88" s="39" t="s">
        <v>8</v>
      </c>
    </row>
    <row r="89" spans="1:8" x14ac:dyDescent="0.3">
      <c r="A89" s="39" t="s">
        <v>44</v>
      </c>
      <c r="B89" s="137" t="s">
        <v>524</v>
      </c>
      <c r="C89" s="41">
        <v>46119</v>
      </c>
      <c r="D89" s="39" t="s">
        <v>326</v>
      </c>
      <c r="E89" s="40">
        <v>23931</v>
      </c>
      <c r="F89" s="43" t="s">
        <v>525</v>
      </c>
      <c r="H89" s="39" t="s">
        <v>18</v>
      </c>
    </row>
    <row r="90" spans="1:8" x14ac:dyDescent="0.3">
      <c r="A90" s="39" t="s">
        <v>44</v>
      </c>
      <c r="B90" s="138" t="s">
        <v>526</v>
      </c>
      <c r="C90" s="41">
        <v>46119</v>
      </c>
      <c r="D90" s="39" t="s">
        <v>328</v>
      </c>
      <c r="E90" s="40">
        <v>21815</v>
      </c>
      <c r="F90" t="s">
        <v>527</v>
      </c>
      <c r="H90" s="39" t="s">
        <v>11</v>
      </c>
    </row>
    <row r="91" spans="1:8" x14ac:dyDescent="0.3">
      <c r="A91" s="39" t="s">
        <v>41</v>
      </c>
      <c r="B91" s="138" t="s">
        <v>528</v>
      </c>
      <c r="C91" s="41">
        <v>46119</v>
      </c>
      <c r="D91" s="39" t="s">
        <v>339</v>
      </c>
      <c r="E91" s="40">
        <v>14669</v>
      </c>
      <c r="F91" t="s">
        <v>529</v>
      </c>
      <c r="H91" s="39" t="s">
        <v>15</v>
      </c>
    </row>
    <row r="92" spans="1:8" x14ac:dyDescent="0.3">
      <c r="A92" s="39" t="s">
        <v>44</v>
      </c>
      <c r="B92" s="138" t="s">
        <v>530</v>
      </c>
      <c r="C92" s="41">
        <v>46120</v>
      </c>
      <c r="D92" s="39" t="s">
        <v>328</v>
      </c>
      <c r="E92" s="40">
        <v>5158</v>
      </c>
      <c r="F92" s="39" t="s">
        <v>531</v>
      </c>
      <c r="H92" s="39" t="s">
        <v>12</v>
      </c>
    </row>
    <row r="93" spans="1:8" x14ac:dyDescent="0.3">
      <c r="A93" s="39" t="s">
        <v>44</v>
      </c>
      <c r="B93" s="136" t="s">
        <v>532</v>
      </c>
      <c r="C93" s="41">
        <v>46120</v>
      </c>
      <c r="D93" s="39" t="s">
        <v>220</v>
      </c>
      <c r="E93" s="40">
        <v>30283</v>
      </c>
      <c r="F93" t="s">
        <v>533</v>
      </c>
      <c r="H93" s="39" t="s">
        <v>11</v>
      </c>
    </row>
    <row r="94" spans="1:8" x14ac:dyDescent="0.3">
      <c r="A94" s="39" t="s">
        <v>44</v>
      </c>
      <c r="B94" s="135" t="s">
        <v>534</v>
      </c>
      <c r="C94" s="41">
        <v>46120</v>
      </c>
      <c r="D94" s="39" t="s">
        <v>220</v>
      </c>
      <c r="E94" s="40">
        <v>24464</v>
      </c>
      <c r="F94" s="39" t="s">
        <v>535</v>
      </c>
      <c r="H94" s="39" t="s">
        <v>11</v>
      </c>
    </row>
    <row r="95" spans="1:8" x14ac:dyDescent="0.3">
      <c r="A95" s="39" t="s">
        <v>44</v>
      </c>
      <c r="B95" s="135">
        <v>26123439</v>
      </c>
      <c r="C95" s="41">
        <v>46120</v>
      </c>
      <c r="D95" s="39" t="s">
        <v>328</v>
      </c>
      <c r="E95" s="40">
        <v>13397</v>
      </c>
      <c r="F95" s="39" t="s">
        <v>536</v>
      </c>
      <c r="H95" s="39" t="s">
        <v>8</v>
      </c>
    </row>
    <row r="96" spans="1:8" x14ac:dyDescent="0.3">
      <c r="A96" s="39" t="s">
        <v>44</v>
      </c>
      <c r="B96" s="135" t="s">
        <v>537</v>
      </c>
      <c r="C96" s="41">
        <v>46120</v>
      </c>
      <c r="D96" s="39" t="s">
        <v>317</v>
      </c>
      <c r="E96" s="40">
        <v>27081</v>
      </c>
      <c r="F96" s="39" t="s">
        <v>538</v>
      </c>
      <c r="H96" s="39" t="s">
        <v>11</v>
      </c>
    </row>
    <row r="97" spans="1:8" x14ac:dyDescent="0.3">
      <c r="A97" s="39" t="s">
        <v>44</v>
      </c>
      <c r="B97" s="135" t="s">
        <v>539</v>
      </c>
      <c r="C97" s="41">
        <v>46120</v>
      </c>
      <c r="D97" s="39" t="s">
        <v>328</v>
      </c>
      <c r="E97" s="40">
        <v>26901</v>
      </c>
      <c r="F97" s="39" t="s">
        <v>540</v>
      </c>
      <c r="H97" s="39" t="s">
        <v>8</v>
      </c>
    </row>
    <row r="98" spans="1:8" x14ac:dyDescent="0.3">
      <c r="A98" s="39" t="s">
        <v>44</v>
      </c>
      <c r="B98" s="136" t="s">
        <v>542</v>
      </c>
      <c r="C98" s="41">
        <v>46121</v>
      </c>
      <c r="D98" s="39" t="s">
        <v>326</v>
      </c>
      <c r="E98" s="40">
        <v>25789</v>
      </c>
      <c r="F98" s="39" t="s">
        <v>543</v>
      </c>
      <c r="H98" s="39" t="s">
        <v>18</v>
      </c>
    </row>
    <row r="99" spans="1:8" x14ac:dyDescent="0.3">
      <c r="A99" s="39" t="s">
        <v>44</v>
      </c>
      <c r="B99" s="135" t="s">
        <v>544</v>
      </c>
      <c r="C99" s="41">
        <v>46121</v>
      </c>
      <c r="D99" s="39" t="s">
        <v>328</v>
      </c>
      <c r="E99" s="40">
        <v>12660</v>
      </c>
      <c r="F99" s="39" t="s">
        <v>545</v>
      </c>
      <c r="H99" s="39" t="s">
        <v>18</v>
      </c>
    </row>
    <row r="100" spans="1:8" x14ac:dyDescent="0.3">
      <c r="A100" s="39" t="s">
        <v>44</v>
      </c>
      <c r="B100" s="135" t="s">
        <v>547</v>
      </c>
      <c r="C100" s="41">
        <v>46121</v>
      </c>
      <c r="D100" s="39" t="s">
        <v>326</v>
      </c>
      <c r="E100" s="40">
        <v>13455</v>
      </c>
      <c r="F100" s="39" t="s">
        <v>546</v>
      </c>
      <c r="H100" s="39" t="s">
        <v>18</v>
      </c>
    </row>
    <row r="101" spans="1:8" x14ac:dyDescent="0.3">
      <c r="A101" s="39" t="s">
        <v>44</v>
      </c>
      <c r="B101" s="135" t="s">
        <v>548</v>
      </c>
      <c r="C101" s="41">
        <v>46121</v>
      </c>
      <c r="D101" s="39" t="s">
        <v>314</v>
      </c>
      <c r="E101" s="40">
        <v>31009</v>
      </c>
      <c r="F101" s="39" t="s">
        <v>549</v>
      </c>
      <c r="H101" s="39" t="s">
        <v>18</v>
      </c>
    </row>
    <row r="102" spans="1:8" x14ac:dyDescent="0.3">
      <c r="A102" s="39" t="s">
        <v>44</v>
      </c>
      <c r="B102" s="135" t="s">
        <v>550</v>
      </c>
      <c r="C102" s="41">
        <v>46121</v>
      </c>
      <c r="D102" s="39" t="s">
        <v>326</v>
      </c>
      <c r="E102" s="40">
        <v>22218</v>
      </c>
      <c r="F102" s="39" t="s">
        <v>551</v>
      </c>
      <c r="H102" s="39" t="s">
        <v>18</v>
      </c>
    </row>
    <row r="103" spans="1:8" x14ac:dyDescent="0.3">
      <c r="A103" s="39" t="s">
        <v>44</v>
      </c>
      <c r="B103" s="135" t="s">
        <v>552</v>
      </c>
      <c r="C103" s="41">
        <v>46123</v>
      </c>
      <c r="D103" s="39" t="s">
        <v>224</v>
      </c>
      <c r="E103" s="40">
        <v>29535</v>
      </c>
      <c r="F103" s="39" t="s">
        <v>553</v>
      </c>
      <c r="H103" s="39" t="s">
        <v>11</v>
      </c>
    </row>
    <row r="104" spans="1:8" x14ac:dyDescent="0.3">
      <c r="A104" s="39" t="s">
        <v>44</v>
      </c>
      <c r="B104" s="135">
        <v>10492603191123</v>
      </c>
      <c r="C104" s="41">
        <v>46123</v>
      </c>
      <c r="D104" s="39" t="s">
        <v>328</v>
      </c>
      <c r="E104" s="40">
        <v>26651</v>
      </c>
      <c r="F104" s="39" t="s">
        <v>554</v>
      </c>
      <c r="H104" s="39" t="s">
        <v>15</v>
      </c>
    </row>
    <row r="105" spans="1:8" x14ac:dyDescent="0.3">
      <c r="A105" s="39" t="s">
        <v>44</v>
      </c>
      <c r="B105" s="135">
        <v>10122603192140</v>
      </c>
      <c r="C105" s="41">
        <v>46123</v>
      </c>
      <c r="D105" s="39" t="s">
        <v>328</v>
      </c>
      <c r="E105" s="40">
        <v>29922</v>
      </c>
      <c r="F105" s="39" t="s">
        <v>556</v>
      </c>
      <c r="H105" s="39" t="s">
        <v>15</v>
      </c>
    </row>
    <row r="106" spans="1:8" x14ac:dyDescent="0.3">
      <c r="A106" s="39" t="s">
        <v>44</v>
      </c>
      <c r="B106" s="135">
        <v>10492603261544</v>
      </c>
      <c r="C106" s="41">
        <v>46123</v>
      </c>
      <c r="D106" s="39" t="s">
        <v>328</v>
      </c>
      <c r="E106" s="40">
        <v>21753</v>
      </c>
      <c r="F106" s="41" t="s">
        <v>555</v>
      </c>
      <c r="G106" s="39" t="s">
        <v>575</v>
      </c>
      <c r="H106" s="39" t="s">
        <v>15</v>
      </c>
    </row>
    <row r="107" spans="1:8" x14ac:dyDescent="0.3">
      <c r="A107" s="39" t="s">
        <v>44</v>
      </c>
      <c r="B107" s="135" t="s">
        <v>557</v>
      </c>
      <c r="C107" s="41">
        <v>46125</v>
      </c>
      <c r="D107" s="39" t="s">
        <v>322</v>
      </c>
      <c r="E107" s="40">
        <v>26996</v>
      </c>
      <c r="F107" s="41" t="s">
        <v>558</v>
      </c>
      <c r="H107" s="39" t="s">
        <v>8</v>
      </c>
    </row>
    <row r="108" spans="1:8" x14ac:dyDescent="0.3">
      <c r="A108" s="39" t="s">
        <v>44</v>
      </c>
      <c r="B108" s="135">
        <v>26125504</v>
      </c>
      <c r="C108" s="41">
        <v>46125</v>
      </c>
      <c r="D108" s="39" t="s">
        <v>339</v>
      </c>
      <c r="E108" s="40">
        <v>30422</v>
      </c>
      <c r="F108" s="39" t="s">
        <v>559</v>
      </c>
      <c r="H108" s="39" t="s">
        <v>8</v>
      </c>
    </row>
    <row r="109" spans="1:8" x14ac:dyDescent="0.3">
      <c r="A109" s="39" t="s">
        <v>44</v>
      </c>
      <c r="B109" s="135" t="s">
        <v>560</v>
      </c>
      <c r="C109" s="41">
        <v>46125</v>
      </c>
      <c r="D109" s="39" t="s">
        <v>315</v>
      </c>
      <c r="E109" s="40">
        <v>18217</v>
      </c>
      <c r="F109" s="39" t="s">
        <v>561</v>
      </c>
      <c r="H109" s="39" t="s">
        <v>8</v>
      </c>
    </row>
    <row r="110" spans="1:8" x14ac:dyDescent="0.3">
      <c r="A110" s="39" t="s">
        <v>44</v>
      </c>
      <c r="B110" s="135" t="s">
        <v>564</v>
      </c>
      <c r="C110" s="41">
        <v>46125</v>
      </c>
      <c r="D110" s="39" t="s">
        <v>315</v>
      </c>
      <c r="E110" s="40">
        <v>28821</v>
      </c>
      <c r="F110" s="39" t="s">
        <v>565</v>
      </c>
      <c r="H110" s="39" t="s">
        <v>8</v>
      </c>
    </row>
    <row r="111" spans="1:8" x14ac:dyDescent="0.3">
      <c r="A111" s="39" t="s">
        <v>44</v>
      </c>
      <c r="B111" s="135" t="s">
        <v>573</v>
      </c>
      <c r="C111" s="41">
        <v>46125</v>
      </c>
      <c r="D111" s="39" t="s">
        <v>328</v>
      </c>
      <c r="E111" s="40">
        <v>27365</v>
      </c>
      <c r="F111" s="39" t="s">
        <v>574</v>
      </c>
      <c r="H111" s="39" t="s">
        <v>18</v>
      </c>
    </row>
    <row r="112" spans="1:8" x14ac:dyDescent="0.3">
      <c r="A112" s="39" t="s">
        <v>44</v>
      </c>
      <c r="B112" s="139" t="s">
        <v>576</v>
      </c>
      <c r="C112" s="41">
        <v>46125</v>
      </c>
      <c r="D112" s="39" t="s">
        <v>326</v>
      </c>
      <c r="E112" s="44">
        <v>14336</v>
      </c>
      <c r="F112" s="42" t="s">
        <v>577</v>
      </c>
      <c r="G112" s="42"/>
      <c r="H112" s="42" t="s">
        <v>15</v>
      </c>
    </row>
    <row r="113" spans="1:8" x14ac:dyDescent="0.3">
      <c r="A113" s="39" t="s">
        <v>44</v>
      </c>
      <c r="B113" s="135" t="s">
        <v>578</v>
      </c>
      <c r="C113" s="41">
        <v>46125</v>
      </c>
      <c r="D113" s="39" t="s">
        <v>328</v>
      </c>
      <c r="E113" s="40">
        <v>20548</v>
      </c>
      <c r="F113" s="39" t="s">
        <v>579</v>
      </c>
      <c r="H113" s="39" t="s">
        <v>8</v>
      </c>
    </row>
    <row r="114" spans="1:8" x14ac:dyDescent="0.3">
      <c r="A114" s="39" t="s">
        <v>39</v>
      </c>
      <c r="B114" s="135" t="s">
        <v>580</v>
      </c>
      <c r="C114" s="41">
        <v>46125</v>
      </c>
      <c r="D114" s="39" t="s">
        <v>328</v>
      </c>
      <c r="E114" s="40">
        <v>14149</v>
      </c>
      <c r="F114" s="39" t="s">
        <v>581</v>
      </c>
      <c r="H114" s="39" t="s">
        <v>18</v>
      </c>
    </row>
    <row r="115" spans="1:8" x14ac:dyDescent="0.3">
      <c r="A115" s="39" t="s">
        <v>44</v>
      </c>
      <c r="B115" s="135" t="s">
        <v>582</v>
      </c>
      <c r="C115" s="41">
        <v>46125</v>
      </c>
      <c r="D115" s="39" t="s">
        <v>328</v>
      </c>
      <c r="E115" s="40">
        <v>14149</v>
      </c>
      <c r="F115" s="39" t="s">
        <v>581</v>
      </c>
      <c r="H115" s="39" t="s">
        <v>18</v>
      </c>
    </row>
    <row r="116" spans="1:8" x14ac:dyDescent="0.3">
      <c r="A116" s="39" t="s">
        <v>39</v>
      </c>
      <c r="B116" s="135" t="s">
        <v>583</v>
      </c>
      <c r="C116" s="41">
        <v>46125</v>
      </c>
      <c r="D116" s="39" t="s">
        <v>317</v>
      </c>
      <c r="E116" s="40">
        <v>28617</v>
      </c>
      <c r="F116" s="39" t="s">
        <v>584</v>
      </c>
      <c r="H116" s="39" t="s">
        <v>11</v>
      </c>
    </row>
    <row r="117" spans="1:8" x14ac:dyDescent="0.3">
      <c r="A117" s="39" t="s">
        <v>44</v>
      </c>
      <c r="B117" s="135" t="s">
        <v>585</v>
      </c>
      <c r="C117" s="41">
        <v>46125</v>
      </c>
      <c r="D117" s="39" t="s">
        <v>318</v>
      </c>
      <c r="E117" s="40">
        <v>30138</v>
      </c>
      <c r="F117" s="39" t="s">
        <v>586</v>
      </c>
      <c r="H117" s="39" t="s">
        <v>18</v>
      </c>
    </row>
    <row r="118" spans="1:8" x14ac:dyDescent="0.3">
      <c r="A118" s="39" t="s">
        <v>44</v>
      </c>
      <c r="B118" s="135" t="s">
        <v>587</v>
      </c>
      <c r="C118" s="41">
        <v>46125</v>
      </c>
      <c r="D118" s="39" t="s">
        <v>330</v>
      </c>
      <c r="E118" s="40">
        <v>30826</v>
      </c>
      <c r="F118" s="39" t="s">
        <v>588</v>
      </c>
      <c r="H118" s="39" t="s">
        <v>8</v>
      </c>
    </row>
    <row r="119" spans="1:8" x14ac:dyDescent="0.3">
      <c r="A119" s="39" t="s">
        <v>44</v>
      </c>
      <c r="B119" s="135" t="s">
        <v>589</v>
      </c>
      <c r="C119" s="41">
        <v>46125</v>
      </c>
      <c r="D119" s="39" t="s">
        <v>328</v>
      </c>
      <c r="E119" s="40">
        <v>29331</v>
      </c>
      <c r="F119" s="39" t="s">
        <v>590</v>
      </c>
      <c r="H119" s="39" t="s">
        <v>8</v>
      </c>
    </row>
    <row r="120" spans="1:8" x14ac:dyDescent="0.3">
      <c r="A120" s="39" t="s">
        <v>44</v>
      </c>
      <c r="B120" s="135" t="s">
        <v>591</v>
      </c>
      <c r="C120" s="41">
        <v>46125</v>
      </c>
      <c r="D120" s="39" t="s">
        <v>326</v>
      </c>
      <c r="E120" s="40">
        <v>14784</v>
      </c>
      <c r="F120" s="39" t="s">
        <v>592</v>
      </c>
      <c r="H120" s="39" t="s">
        <v>18</v>
      </c>
    </row>
    <row r="121" spans="1:8" x14ac:dyDescent="0.3">
      <c r="A121" s="39" t="s">
        <v>44</v>
      </c>
      <c r="B121" s="135">
        <v>126356</v>
      </c>
      <c r="C121" s="41">
        <v>46121</v>
      </c>
      <c r="D121" s="39" t="s">
        <v>339</v>
      </c>
      <c r="E121" s="40">
        <v>3002</v>
      </c>
      <c r="F121" s="39" t="s">
        <v>541</v>
      </c>
      <c r="H121" s="39" t="s">
        <v>8</v>
      </c>
    </row>
    <row r="122" spans="1:8" x14ac:dyDescent="0.3">
      <c r="A122" s="39" t="s">
        <v>44</v>
      </c>
      <c r="B122" s="135" t="s">
        <v>610</v>
      </c>
      <c r="C122" s="41">
        <v>46126</v>
      </c>
      <c r="D122" s="39" t="s">
        <v>328</v>
      </c>
      <c r="E122" s="40">
        <v>14272</v>
      </c>
      <c r="F122" s="39" t="s">
        <v>611</v>
      </c>
      <c r="H122" s="39" t="s">
        <v>8</v>
      </c>
    </row>
    <row r="123" spans="1:8" x14ac:dyDescent="0.3">
      <c r="A123" s="39" t="s">
        <v>44</v>
      </c>
      <c r="B123" s="135" t="s">
        <v>612</v>
      </c>
      <c r="C123" s="41">
        <v>46126</v>
      </c>
      <c r="D123" s="39" t="s">
        <v>328</v>
      </c>
      <c r="E123" s="40">
        <v>26419</v>
      </c>
      <c r="F123" s="39" t="s">
        <v>613</v>
      </c>
      <c r="H123" s="39" t="s">
        <v>18</v>
      </c>
    </row>
    <row r="124" spans="1:8" x14ac:dyDescent="0.3">
      <c r="A124" s="39" t="s">
        <v>44</v>
      </c>
      <c r="B124" s="135">
        <v>122972</v>
      </c>
      <c r="C124" s="41">
        <v>46126</v>
      </c>
      <c r="D124" s="39" t="s">
        <v>328</v>
      </c>
      <c r="E124" s="40">
        <v>29090</v>
      </c>
      <c r="F124" s="39" t="s">
        <v>614</v>
      </c>
      <c r="H124" s="39" t="s">
        <v>8</v>
      </c>
    </row>
    <row r="125" spans="1:8" x14ac:dyDescent="0.3">
      <c r="A125" s="39" t="s">
        <v>44</v>
      </c>
      <c r="B125" s="135" t="s">
        <v>615</v>
      </c>
      <c r="C125" s="41">
        <v>46126</v>
      </c>
      <c r="D125" s="39" t="s">
        <v>328</v>
      </c>
      <c r="E125" s="40">
        <v>6402</v>
      </c>
      <c r="F125" s="39" t="s">
        <v>616</v>
      </c>
      <c r="G125" s="39" t="s">
        <v>684</v>
      </c>
      <c r="H125" s="39" t="s">
        <v>8</v>
      </c>
    </row>
    <row r="126" spans="1:8" x14ac:dyDescent="0.3">
      <c r="A126" s="39" t="s">
        <v>44</v>
      </c>
      <c r="B126" s="135" t="s">
        <v>617</v>
      </c>
      <c r="C126" s="41">
        <v>46126</v>
      </c>
      <c r="D126" s="39" t="s">
        <v>335</v>
      </c>
      <c r="E126" s="40">
        <v>4453</v>
      </c>
      <c r="F126" s="39" t="s">
        <v>618</v>
      </c>
      <c r="H126" s="39" t="s">
        <v>8</v>
      </c>
    </row>
    <row r="127" spans="1:8" x14ac:dyDescent="0.3">
      <c r="A127" s="39" t="s">
        <v>44</v>
      </c>
      <c r="B127" s="135">
        <v>125378</v>
      </c>
      <c r="C127" s="41">
        <v>46126</v>
      </c>
      <c r="D127" s="39" t="s">
        <v>328</v>
      </c>
      <c r="E127" s="40">
        <v>13637</v>
      </c>
      <c r="F127" s="39" t="s">
        <v>634</v>
      </c>
      <c r="H127" s="39" t="s">
        <v>8</v>
      </c>
    </row>
    <row r="128" spans="1:8" x14ac:dyDescent="0.3">
      <c r="A128" s="39" t="s">
        <v>44</v>
      </c>
      <c r="B128" s="135" t="s">
        <v>635</v>
      </c>
      <c r="C128" s="41">
        <v>46126</v>
      </c>
      <c r="D128" s="39" t="s">
        <v>328</v>
      </c>
      <c r="E128" s="40" t="s">
        <v>637</v>
      </c>
      <c r="F128" s="39" t="s">
        <v>636</v>
      </c>
      <c r="H128" s="39" t="s">
        <v>8</v>
      </c>
    </row>
    <row r="129" spans="1:8" x14ac:dyDescent="0.3">
      <c r="A129" s="39" t="s">
        <v>44</v>
      </c>
      <c r="B129" s="135" t="s">
        <v>639</v>
      </c>
      <c r="C129" s="41">
        <v>46139</v>
      </c>
      <c r="D129" s="39" t="s">
        <v>328</v>
      </c>
      <c r="E129" s="40">
        <v>31210</v>
      </c>
      <c r="F129" s="39" t="s">
        <v>640</v>
      </c>
      <c r="H129" s="39" t="s">
        <v>8</v>
      </c>
    </row>
    <row r="130" spans="1:8" x14ac:dyDescent="0.3">
      <c r="A130" s="39" t="s">
        <v>44</v>
      </c>
      <c r="B130" s="135" t="s">
        <v>641</v>
      </c>
      <c r="C130" s="41">
        <v>46139</v>
      </c>
      <c r="D130" s="39" t="s">
        <v>328</v>
      </c>
      <c r="E130" s="40">
        <v>12291</v>
      </c>
      <c r="F130" s="39" t="s">
        <v>642</v>
      </c>
      <c r="H130" s="39" t="s">
        <v>18</v>
      </c>
    </row>
    <row r="131" spans="1:8" x14ac:dyDescent="0.3">
      <c r="A131" s="39" t="s">
        <v>41</v>
      </c>
      <c r="B131" s="135" t="s">
        <v>643</v>
      </c>
      <c r="C131" s="41">
        <v>46139</v>
      </c>
      <c r="D131" s="39" t="s">
        <v>221</v>
      </c>
      <c r="E131" s="40" t="s">
        <v>644</v>
      </c>
      <c r="F131" s="39" t="s">
        <v>645</v>
      </c>
      <c r="H131" s="39" t="s">
        <v>18</v>
      </c>
    </row>
    <row r="132" spans="1:8" x14ac:dyDescent="0.3">
      <c r="A132" s="39" t="s">
        <v>44</v>
      </c>
      <c r="B132" s="135" t="s">
        <v>646</v>
      </c>
      <c r="C132" s="41">
        <v>46139</v>
      </c>
      <c r="D132" s="39" t="s">
        <v>328</v>
      </c>
      <c r="E132" s="40">
        <v>10037</v>
      </c>
      <c r="F132" s="39" t="s">
        <v>647</v>
      </c>
      <c r="H132" s="39" t="s">
        <v>18</v>
      </c>
    </row>
    <row r="133" spans="1:8" x14ac:dyDescent="0.3">
      <c r="A133" s="39" t="s">
        <v>44</v>
      </c>
      <c r="B133" s="135" t="s">
        <v>648</v>
      </c>
      <c r="C133" s="41">
        <v>46139</v>
      </c>
      <c r="D133" s="39" t="s">
        <v>328</v>
      </c>
      <c r="E133" s="40">
        <v>21661</v>
      </c>
      <c r="F133" s="39" t="s">
        <v>649</v>
      </c>
      <c r="H133" s="39" t="s">
        <v>8</v>
      </c>
    </row>
    <row r="134" spans="1:8" x14ac:dyDescent="0.3">
      <c r="A134" s="39" t="s">
        <v>44</v>
      </c>
      <c r="B134" s="135" t="s">
        <v>650</v>
      </c>
      <c r="C134" s="41">
        <v>46139</v>
      </c>
      <c r="D134" s="39" t="s">
        <v>328</v>
      </c>
      <c r="E134" s="40" t="s">
        <v>652</v>
      </c>
      <c r="F134" s="39" t="s">
        <v>651</v>
      </c>
      <c r="H134" s="39" t="s">
        <v>18</v>
      </c>
    </row>
    <row r="135" spans="1:8" x14ac:dyDescent="0.3">
      <c r="A135" s="39" t="s">
        <v>39</v>
      </c>
      <c r="B135" s="135">
        <v>26130415</v>
      </c>
      <c r="C135" s="41">
        <v>46139</v>
      </c>
      <c r="D135" s="39" t="s">
        <v>328</v>
      </c>
      <c r="E135" s="40">
        <v>16993</v>
      </c>
      <c r="F135" t="s">
        <v>653</v>
      </c>
      <c r="G135" s="50" t="s">
        <v>816</v>
      </c>
      <c r="H135" s="39" t="s">
        <v>18</v>
      </c>
    </row>
    <row r="136" spans="1:8" x14ac:dyDescent="0.3">
      <c r="A136" s="39" t="s">
        <v>39</v>
      </c>
      <c r="B136" s="135">
        <v>26130417</v>
      </c>
      <c r="C136" s="41">
        <v>46139</v>
      </c>
      <c r="D136" s="39" t="s">
        <v>328</v>
      </c>
      <c r="E136" s="40">
        <v>28431</v>
      </c>
      <c r="F136" t="s">
        <v>653</v>
      </c>
      <c r="G136" s="50" t="s">
        <v>816</v>
      </c>
      <c r="H136" s="39" t="s">
        <v>18</v>
      </c>
    </row>
    <row r="137" spans="1:8" x14ac:dyDescent="0.3">
      <c r="A137" s="39" t="s">
        <v>39</v>
      </c>
      <c r="B137" s="135" t="s">
        <v>654</v>
      </c>
      <c r="C137" s="41">
        <v>46139</v>
      </c>
      <c r="D137" s="39" t="s">
        <v>224</v>
      </c>
      <c r="E137" s="40">
        <v>20851</v>
      </c>
      <c r="F137" s="39" t="s">
        <v>655</v>
      </c>
      <c r="H137" s="39" t="s">
        <v>18</v>
      </c>
    </row>
    <row r="138" spans="1:8" x14ac:dyDescent="0.3">
      <c r="A138" s="39" t="s">
        <v>44</v>
      </c>
      <c r="B138" s="135">
        <v>26136317</v>
      </c>
      <c r="C138" s="41">
        <v>46139</v>
      </c>
      <c r="D138" s="39" t="s">
        <v>326</v>
      </c>
      <c r="E138" s="40">
        <v>7417</v>
      </c>
      <c r="F138" s="39" t="s">
        <v>656</v>
      </c>
      <c r="H138" s="39" t="s">
        <v>18</v>
      </c>
    </row>
    <row r="139" spans="1:8" x14ac:dyDescent="0.3">
      <c r="A139" s="39" t="s">
        <v>44</v>
      </c>
      <c r="B139" s="135" t="s">
        <v>657</v>
      </c>
      <c r="C139" s="41">
        <v>46139</v>
      </c>
      <c r="D139" s="39" t="s">
        <v>328</v>
      </c>
      <c r="E139" s="40">
        <v>30603</v>
      </c>
      <c r="F139" s="39" t="s">
        <v>658</v>
      </c>
      <c r="H139" s="39" t="s">
        <v>18</v>
      </c>
    </row>
    <row r="140" spans="1:8" x14ac:dyDescent="0.3">
      <c r="A140" s="39" t="s">
        <v>44</v>
      </c>
      <c r="B140" s="135" t="s">
        <v>659</v>
      </c>
      <c r="C140" s="41">
        <v>46139</v>
      </c>
      <c r="D140" s="39" t="s">
        <v>339</v>
      </c>
      <c r="E140" s="40">
        <v>13071</v>
      </c>
      <c r="F140" s="39" t="s">
        <v>660</v>
      </c>
      <c r="H140" s="39" t="s">
        <v>18</v>
      </c>
    </row>
    <row r="141" spans="1:8" x14ac:dyDescent="0.3">
      <c r="A141" s="39" t="s">
        <v>44</v>
      </c>
      <c r="B141" s="135" t="s">
        <v>661</v>
      </c>
      <c r="C141" s="41">
        <v>46139</v>
      </c>
      <c r="D141" s="39" t="s">
        <v>319</v>
      </c>
      <c r="E141" s="40">
        <v>29583</v>
      </c>
      <c r="F141" s="39" t="s">
        <v>662</v>
      </c>
      <c r="H141" s="39" t="s">
        <v>8</v>
      </c>
    </row>
    <row r="142" spans="1:8" x14ac:dyDescent="0.3">
      <c r="A142" s="39" t="s">
        <v>44</v>
      </c>
      <c r="B142" s="135" t="s">
        <v>663</v>
      </c>
      <c r="C142" s="41">
        <v>46139</v>
      </c>
      <c r="D142" s="39" t="s">
        <v>328</v>
      </c>
      <c r="E142" s="40">
        <v>11912</v>
      </c>
      <c r="F142" s="39" t="s">
        <v>664</v>
      </c>
      <c r="H142" s="39" t="s">
        <v>18</v>
      </c>
    </row>
    <row r="143" spans="1:8" x14ac:dyDescent="0.3">
      <c r="A143" s="39" t="s">
        <v>44</v>
      </c>
      <c r="B143" s="135" t="s">
        <v>665</v>
      </c>
      <c r="C143" s="41">
        <v>46139</v>
      </c>
      <c r="D143" s="39" t="s">
        <v>322</v>
      </c>
      <c r="E143" s="40">
        <v>14568</v>
      </c>
      <c r="F143" s="39" t="s">
        <v>666</v>
      </c>
      <c r="H143" s="39" t="s">
        <v>18</v>
      </c>
    </row>
    <row r="144" spans="1:8" x14ac:dyDescent="0.3">
      <c r="A144" s="39" t="s">
        <v>44</v>
      </c>
      <c r="B144" s="135" t="s">
        <v>667</v>
      </c>
      <c r="C144" s="41">
        <v>46139</v>
      </c>
      <c r="D144" s="39" t="s">
        <v>328</v>
      </c>
      <c r="E144" s="40">
        <v>31194</v>
      </c>
      <c r="F144" s="39" t="s">
        <v>668</v>
      </c>
      <c r="H144" s="39" t="s">
        <v>8</v>
      </c>
    </row>
    <row r="145" spans="1:8" x14ac:dyDescent="0.3">
      <c r="A145" s="39" t="s">
        <v>44</v>
      </c>
      <c r="B145" s="135" t="s">
        <v>669</v>
      </c>
      <c r="C145" s="41">
        <v>46139</v>
      </c>
      <c r="D145" s="39" t="s">
        <v>328</v>
      </c>
      <c r="E145" s="40">
        <v>17579</v>
      </c>
      <c r="F145" s="39" t="s">
        <v>670</v>
      </c>
      <c r="H145" s="39" t="s">
        <v>8</v>
      </c>
    </row>
    <row r="146" spans="1:8" x14ac:dyDescent="0.3">
      <c r="A146" s="39" t="s">
        <v>44</v>
      </c>
      <c r="B146" s="135" t="s">
        <v>672</v>
      </c>
      <c r="C146" s="41">
        <v>46139</v>
      </c>
      <c r="D146" s="39" t="s">
        <v>328</v>
      </c>
      <c r="E146" s="40">
        <v>25846</v>
      </c>
      <c r="F146" s="39" t="s">
        <v>671</v>
      </c>
      <c r="H146" s="39" t="s">
        <v>8</v>
      </c>
    </row>
    <row r="147" spans="1:8" x14ac:dyDescent="0.3">
      <c r="A147" s="39" t="s">
        <v>44</v>
      </c>
      <c r="B147" s="135" t="s">
        <v>673</v>
      </c>
      <c r="C147" s="41">
        <v>46139</v>
      </c>
      <c r="D147" s="39" t="s">
        <v>317</v>
      </c>
      <c r="E147" s="40">
        <v>28824</v>
      </c>
      <c r="F147" s="39" t="s">
        <v>674</v>
      </c>
      <c r="H147" s="39" t="s">
        <v>18</v>
      </c>
    </row>
    <row r="148" spans="1:8" x14ac:dyDescent="0.3">
      <c r="A148" s="39" t="s">
        <v>44</v>
      </c>
      <c r="B148" s="135">
        <v>26133148</v>
      </c>
      <c r="C148" s="41">
        <v>46139</v>
      </c>
      <c r="D148" s="39" t="s">
        <v>220</v>
      </c>
      <c r="E148" s="40">
        <v>19077</v>
      </c>
      <c r="F148" s="39" t="s">
        <v>675</v>
      </c>
      <c r="H148" s="39" t="s">
        <v>8</v>
      </c>
    </row>
    <row r="149" spans="1:8" x14ac:dyDescent="0.3">
      <c r="A149" s="39" t="s">
        <v>44</v>
      </c>
      <c r="B149" s="135" t="s">
        <v>676</v>
      </c>
      <c r="C149" s="41">
        <v>46139</v>
      </c>
      <c r="D149" s="39" t="s">
        <v>328</v>
      </c>
      <c r="E149" s="40">
        <v>30799</v>
      </c>
      <c r="F149" s="39" t="s">
        <v>677</v>
      </c>
      <c r="H149" s="39" t="s">
        <v>8</v>
      </c>
    </row>
    <row r="150" spans="1:8" x14ac:dyDescent="0.3">
      <c r="A150" s="39" t="s">
        <v>44</v>
      </c>
      <c r="B150" s="135" t="s">
        <v>678</v>
      </c>
      <c r="C150" s="41">
        <v>46139</v>
      </c>
      <c r="D150" s="39" t="s">
        <v>328</v>
      </c>
      <c r="E150" s="40">
        <v>27943</v>
      </c>
      <c r="F150" s="39" t="s">
        <v>679</v>
      </c>
      <c r="H150" s="39" t="s">
        <v>8</v>
      </c>
    </row>
    <row r="151" spans="1:8" x14ac:dyDescent="0.3">
      <c r="A151" s="39" t="s">
        <v>44</v>
      </c>
      <c r="B151" s="135" t="s">
        <v>680</v>
      </c>
      <c r="C151" s="41">
        <v>46139</v>
      </c>
      <c r="D151" s="39" t="s">
        <v>328</v>
      </c>
      <c r="E151" s="40">
        <v>13169</v>
      </c>
      <c r="F151" s="39" t="s">
        <v>681</v>
      </c>
      <c r="H151" s="39" t="s">
        <v>8</v>
      </c>
    </row>
    <row r="152" spans="1:8" x14ac:dyDescent="0.3">
      <c r="A152" s="39" t="s">
        <v>44</v>
      </c>
      <c r="B152" s="135" t="s">
        <v>682</v>
      </c>
      <c r="C152" s="41">
        <v>46139</v>
      </c>
      <c r="D152" s="39" t="s">
        <v>319</v>
      </c>
      <c r="E152" s="40">
        <v>29455</v>
      </c>
      <c r="F152" s="39" t="s">
        <v>683</v>
      </c>
      <c r="H152" s="39" t="s">
        <v>8</v>
      </c>
    </row>
    <row r="153" spans="1:8" x14ac:dyDescent="0.3">
      <c r="A153" s="39" t="s">
        <v>44</v>
      </c>
      <c r="B153" s="135" t="s">
        <v>564</v>
      </c>
      <c r="C153" s="41">
        <v>46139</v>
      </c>
      <c r="D153" s="39" t="s">
        <v>319</v>
      </c>
      <c r="E153" s="40">
        <v>28821</v>
      </c>
      <c r="F153" s="39" t="s">
        <v>685</v>
      </c>
      <c r="H153" s="39" t="s">
        <v>8</v>
      </c>
    </row>
    <row r="154" spans="1:8" x14ac:dyDescent="0.3">
      <c r="A154" s="39" t="s">
        <v>44</v>
      </c>
      <c r="B154" s="135">
        <v>26128257</v>
      </c>
      <c r="C154" s="41">
        <v>46139</v>
      </c>
      <c r="D154" s="39" t="s">
        <v>328</v>
      </c>
      <c r="E154" s="40">
        <v>29331</v>
      </c>
      <c r="F154" s="39" t="s">
        <v>590</v>
      </c>
      <c r="H154" s="39" t="s">
        <v>8</v>
      </c>
    </row>
    <row r="155" spans="1:8" x14ac:dyDescent="0.3">
      <c r="A155" s="39" t="s">
        <v>44</v>
      </c>
      <c r="B155" s="135" t="s">
        <v>686</v>
      </c>
      <c r="C155" s="41">
        <v>46139</v>
      </c>
      <c r="D155" s="39" t="s">
        <v>328</v>
      </c>
      <c r="E155" s="40">
        <v>12415</v>
      </c>
      <c r="F155" s="39" t="s">
        <v>687</v>
      </c>
      <c r="H155" s="39" t="s">
        <v>8</v>
      </c>
    </row>
    <row r="156" spans="1:8" x14ac:dyDescent="0.3">
      <c r="A156" s="39" t="s">
        <v>44</v>
      </c>
      <c r="B156" s="135" t="s">
        <v>688</v>
      </c>
      <c r="C156" s="41">
        <v>46139</v>
      </c>
      <c r="D156" s="39" t="s">
        <v>328</v>
      </c>
      <c r="E156" s="40">
        <v>25999</v>
      </c>
      <c r="F156" s="39" t="s">
        <v>689</v>
      </c>
      <c r="H156" s="39" t="s">
        <v>8</v>
      </c>
    </row>
    <row r="157" spans="1:8" x14ac:dyDescent="0.3">
      <c r="A157" s="39" t="s">
        <v>44</v>
      </c>
      <c r="B157" s="135" t="s">
        <v>690</v>
      </c>
      <c r="C157" s="41">
        <v>46139</v>
      </c>
      <c r="D157" s="39" t="s">
        <v>328</v>
      </c>
      <c r="E157" s="40">
        <v>10583</v>
      </c>
      <c r="F157" s="39" t="s">
        <v>691</v>
      </c>
      <c r="H157" s="39" t="s">
        <v>8</v>
      </c>
    </row>
    <row r="158" spans="1:8" x14ac:dyDescent="0.3">
      <c r="A158" s="39" t="s">
        <v>44</v>
      </c>
      <c r="B158" s="135" t="s">
        <v>692</v>
      </c>
      <c r="C158" s="41">
        <v>46139</v>
      </c>
      <c r="D158" s="39" t="s">
        <v>328</v>
      </c>
      <c r="E158" s="40">
        <v>6776</v>
      </c>
      <c r="F158" s="39" t="s">
        <v>693</v>
      </c>
      <c r="H158" s="39" t="s">
        <v>8</v>
      </c>
    </row>
    <row r="159" spans="1:8" x14ac:dyDescent="0.3">
      <c r="A159" s="39" t="s">
        <v>44</v>
      </c>
      <c r="B159" s="135" t="s">
        <v>694</v>
      </c>
      <c r="C159" s="41">
        <v>46139</v>
      </c>
      <c r="D159" s="39" t="s">
        <v>328</v>
      </c>
      <c r="E159" s="40">
        <v>23599</v>
      </c>
      <c r="F159" s="39" t="s">
        <v>695</v>
      </c>
      <c r="H159" s="39" t="s">
        <v>8</v>
      </c>
    </row>
    <row r="160" spans="1:8" x14ac:dyDescent="0.3">
      <c r="A160" s="39" t="s">
        <v>44</v>
      </c>
      <c r="B160" s="135" t="s">
        <v>696</v>
      </c>
      <c r="C160" s="41">
        <v>46139</v>
      </c>
      <c r="D160" s="39" t="s">
        <v>328</v>
      </c>
      <c r="E160" s="40">
        <v>19391</v>
      </c>
      <c r="F160" s="39" t="s">
        <v>697</v>
      </c>
      <c r="H160" s="39" t="s">
        <v>11</v>
      </c>
    </row>
    <row r="161" spans="1:8" x14ac:dyDescent="0.3">
      <c r="A161" s="39" t="s">
        <v>44</v>
      </c>
      <c r="B161" s="135">
        <v>26129742</v>
      </c>
      <c r="C161" s="41">
        <v>46139</v>
      </c>
      <c r="D161" s="39" t="s">
        <v>313</v>
      </c>
      <c r="E161" s="40">
        <v>31150</v>
      </c>
      <c r="F161" s="39" t="s">
        <v>698</v>
      </c>
      <c r="H161" s="39" t="s">
        <v>11</v>
      </c>
    </row>
    <row r="162" spans="1:8" x14ac:dyDescent="0.3">
      <c r="A162" s="39" t="s">
        <v>44</v>
      </c>
      <c r="B162" s="135">
        <v>26130337</v>
      </c>
      <c r="C162" s="41">
        <v>46139</v>
      </c>
      <c r="D162" s="39" t="s">
        <v>328</v>
      </c>
      <c r="E162" s="40">
        <v>25636</v>
      </c>
      <c r="F162" s="39" t="s">
        <v>699</v>
      </c>
      <c r="H162" s="39" t="s">
        <v>11</v>
      </c>
    </row>
    <row r="163" spans="1:8" x14ac:dyDescent="0.3">
      <c r="A163" s="39" t="s">
        <v>38</v>
      </c>
      <c r="B163" s="135" t="s">
        <v>700</v>
      </c>
      <c r="C163" s="41">
        <v>46139</v>
      </c>
      <c r="D163" s="39" t="s">
        <v>328</v>
      </c>
      <c r="E163" s="40">
        <v>13941</v>
      </c>
      <c r="F163" s="39" t="s">
        <v>701</v>
      </c>
      <c r="G163" s="50" t="s">
        <v>702</v>
      </c>
      <c r="H163" s="39" t="s">
        <v>11</v>
      </c>
    </row>
    <row r="164" spans="1:8" x14ac:dyDescent="0.3">
      <c r="A164" s="39" t="s">
        <v>39</v>
      </c>
      <c r="B164" s="135" t="s">
        <v>703</v>
      </c>
      <c r="C164" s="41">
        <v>46139</v>
      </c>
      <c r="D164" s="39" t="s">
        <v>173</v>
      </c>
      <c r="E164" s="40">
        <v>28700</v>
      </c>
      <c r="F164" s="39" t="s">
        <v>704</v>
      </c>
      <c r="H164" s="39" t="s">
        <v>11</v>
      </c>
    </row>
    <row r="165" spans="1:8" x14ac:dyDescent="0.3">
      <c r="A165" s="39" t="s">
        <v>44</v>
      </c>
      <c r="B165" s="135" t="s">
        <v>705</v>
      </c>
      <c r="C165" s="41">
        <v>46139</v>
      </c>
      <c r="D165" s="39" t="s">
        <v>328</v>
      </c>
      <c r="E165" s="40">
        <v>25251</v>
      </c>
      <c r="F165" s="39" t="s">
        <v>706</v>
      </c>
      <c r="H165" s="39" t="s">
        <v>11</v>
      </c>
    </row>
    <row r="166" spans="1:8" x14ac:dyDescent="0.3">
      <c r="A166" s="39" t="s">
        <v>39</v>
      </c>
      <c r="B166" s="135" t="s">
        <v>707</v>
      </c>
      <c r="C166" s="41">
        <v>46139</v>
      </c>
      <c r="D166" s="39" t="s">
        <v>328</v>
      </c>
      <c r="E166" s="40">
        <v>26068</v>
      </c>
      <c r="F166" s="39" t="s">
        <v>708</v>
      </c>
      <c r="G166" s="50" t="s">
        <v>702</v>
      </c>
      <c r="H166" s="39" t="s">
        <v>11</v>
      </c>
    </row>
    <row r="167" spans="1:8" x14ac:dyDescent="0.3">
      <c r="A167" s="39" t="s">
        <v>39</v>
      </c>
      <c r="B167" s="135" t="s">
        <v>709</v>
      </c>
      <c r="C167" s="41">
        <v>46139</v>
      </c>
      <c r="D167" s="39" t="s">
        <v>328</v>
      </c>
      <c r="E167" s="40">
        <v>28277</v>
      </c>
      <c r="F167" s="39" t="s">
        <v>712</v>
      </c>
      <c r="H167" s="39" t="s">
        <v>11</v>
      </c>
    </row>
    <row r="168" spans="1:8" x14ac:dyDescent="0.3">
      <c r="A168" s="39" t="s">
        <v>44</v>
      </c>
      <c r="B168" s="135" t="s">
        <v>710</v>
      </c>
      <c r="C168" s="41">
        <v>46139</v>
      </c>
      <c r="D168" s="39" t="s">
        <v>328</v>
      </c>
      <c r="E168" s="40">
        <v>23845</v>
      </c>
      <c r="F168" s="39" t="s">
        <v>711</v>
      </c>
      <c r="H168" s="39" t="s">
        <v>15</v>
      </c>
    </row>
    <row r="169" spans="1:8" x14ac:dyDescent="0.3">
      <c r="A169" s="39" t="s">
        <v>44</v>
      </c>
      <c r="B169" s="135" t="s">
        <v>713</v>
      </c>
      <c r="C169" s="41">
        <v>46140</v>
      </c>
      <c r="D169" s="39" t="s">
        <v>328</v>
      </c>
      <c r="E169" s="40">
        <v>21582</v>
      </c>
      <c r="F169" s="39" t="s">
        <v>714</v>
      </c>
      <c r="H169" s="39" t="s">
        <v>15</v>
      </c>
    </row>
    <row r="170" spans="1:8" x14ac:dyDescent="0.3">
      <c r="A170" s="39" t="s">
        <v>41</v>
      </c>
      <c r="B170" s="135">
        <v>26134730</v>
      </c>
      <c r="C170" s="41">
        <v>46140</v>
      </c>
      <c r="D170" s="39" t="s">
        <v>339</v>
      </c>
      <c r="E170" s="40">
        <v>14669</v>
      </c>
      <c r="F170" s="39" t="s">
        <v>529</v>
      </c>
      <c r="H170" s="39" t="s">
        <v>15</v>
      </c>
    </row>
    <row r="171" spans="1:8" x14ac:dyDescent="0.3">
      <c r="A171" s="39" t="s">
        <v>44</v>
      </c>
      <c r="B171" s="137">
        <v>26135943</v>
      </c>
      <c r="C171" s="41">
        <v>46140</v>
      </c>
      <c r="D171" s="39" t="s">
        <v>319</v>
      </c>
      <c r="E171" s="40">
        <v>27552</v>
      </c>
      <c r="F171" s="39" t="s">
        <v>715</v>
      </c>
      <c r="H171" s="39" t="s">
        <v>15</v>
      </c>
    </row>
    <row r="172" spans="1:8" x14ac:dyDescent="0.3">
      <c r="A172" s="39" t="s">
        <v>44</v>
      </c>
      <c r="B172" s="135">
        <v>26136235</v>
      </c>
      <c r="C172" s="41">
        <v>46140</v>
      </c>
      <c r="D172" s="39" t="s">
        <v>328</v>
      </c>
      <c r="E172" s="40">
        <v>21559</v>
      </c>
      <c r="F172" s="39" t="s">
        <v>716</v>
      </c>
      <c r="H172" s="39" t="s">
        <v>15</v>
      </c>
    </row>
    <row r="173" spans="1:8" x14ac:dyDescent="0.3">
      <c r="A173" s="39" t="s">
        <v>44</v>
      </c>
      <c r="B173" s="135" t="s">
        <v>717</v>
      </c>
      <c r="C173" s="41">
        <v>46140</v>
      </c>
      <c r="D173" s="39" t="s">
        <v>328</v>
      </c>
      <c r="E173" s="40">
        <v>21583</v>
      </c>
      <c r="F173" s="39" t="s">
        <v>718</v>
      </c>
      <c r="H173" s="39" t="s">
        <v>15</v>
      </c>
    </row>
    <row r="174" spans="1:8" x14ac:dyDescent="0.3">
      <c r="A174" s="39" t="s">
        <v>44</v>
      </c>
      <c r="B174" s="135">
        <v>26136340</v>
      </c>
      <c r="C174" s="41">
        <v>46140</v>
      </c>
      <c r="D174" s="39" t="s">
        <v>328</v>
      </c>
      <c r="E174" s="40">
        <v>22954</v>
      </c>
      <c r="F174" s="39" t="s">
        <v>719</v>
      </c>
      <c r="H174" s="39" t="s">
        <v>15</v>
      </c>
    </row>
    <row r="175" spans="1:8" x14ac:dyDescent="0.3">
      <c r="A175" s="39" t="s">
        <v>44</v>
      </c>
      <c r="B175" s="135" t="s">
        <v>720</v>
      </c>
      <c r="C175" s="41">
        <v>46140</v>
      </c>
      <c r="D175" s="39" t="s">
        <v>328</v>
      </c>
      <c r="E175" s="40">
        <v>21585</v>
      </c>
      <c r="F175" s="39" t="s">
        <v>721</v>
      </c>
      <c r="H175" s="39" t="s">
        <v>15</v>
      </c>
    </row>
    <row r="176" spans="1:8" x14ac:dyDescent="0.3">
      <c r="A176" s="39" t="s">
        <v>44</v>
      </c>
      <c r="B176" s="135" t="s">
        <v>722</v>
      </c>
      <c r="C176" s="41">
        <v>46140</v>
      </c>
      <c r="D176" s="39" t="s">
        <v>317</v>
      </c>
      <c r="E176" s="40">
        <v>29894</v>
      </c>
      <c r="F176" s="39" t="s">
        <v>723</v>
      </c>
      <c r="H176" s="39" t="s">
        <v>8</v>
      </c>
    </row>
    <row r="177" spans="1:8" x14ac:dyDescent="0.3">
      <c r="A177" s="39" t="s">
        <v>44</v>
      </c>
      <c r="B177" s="135" t="s">
        <v>724</v>
      </c>
      <c r="C177" s="41">
        <v>46140</v>
      </c>
      <c r="D177" s="39" t="s">
        <v>328</v>
      </c>
      <c r="E177" s="40">
        <v>30619</v>
      </c>
      <c r="F177" s="39" t="s">
        <v>725</v>
      </c>
      <c r="H177" s="39" t="s">
        <v>8</v>
      </c>
    </row>
    <row r="178" spans="1:8" x14ac:dyDescent="0.3">
      <c r="A178" s="39" t="s">
        <v>44</v>
      </c>
      <c r="B178" s="135" t="s">
        <v>726</v>
      </c>
      <c r="C178" s="41">
        <v>46140</v>
      </c>
      <c r="D178" s="39" t="s">
        <v>317</v>
      </c>
      <c r="E178" s="40">
        <v>30578</v>
      </c>
      <c r="F178" s="39" t="s">
        <v>727</v>
      </c>
      <c r="H178" s="39" t="s">
        <v>18</v>
      </c>
    </row>
    <row r="179" spans="1:8" x14ac:dyDescent="0.3">
      <c r="A179" s="39" t="s">
        <v>44</v>
      </c>
      <c r="B179" s="135" t="s">
        <v>729</v>
      </c>
      <c r="C179" s="41">
        <v>46140</v>
      </c>
      <c r="D179" s="39" t="s">
        <v>328</v>
      </c>
      <c r="E179" s="40">
        <v>21826</v>
      </c>
      <c r="F179" s="39" t="s">
        <v>728</v>
      </c>
      <c r="H179" s="39" t="s">
        <v>8</v>
      </c>
    </row>
    <row r="180" spans="1:8" x14ac:dyDescent="0.3">
      <c r="A180" s="39" t="s">
        <v>44</v>
      </c>
      <c r="B180" s="135">
        <v>137930</v>
      </c>
      <c r="C180" s="41">
        <v>46140</v>
      </c>
      <c r="D180" s="39" t="s">
        <v>317</v>
      </c>
      <c r="E180" s="40">
        <v>27882</v>
      </c>
      <c r="F180" s="39" t="s">
        <v>730</v>
      </c>
      <c r="H180" s="39" t="s">
        <v>8</v>
      </c>
    </row>
    <row r="181" spans="1:8" x14ac:dyDescent="0.3">
      <c r="A181" s="39" t="s">
        <v>44</v>
      </c>
      <c r="B181" s="135" t="s">
        <v>731</v>
      </c>
      <c r="C181" s="41">
        <v>46140</v>
      </c>
      <c r="D181" s="39" t="s">
        <v>328</v>
      </c>
      <c r="E181" s="40">
        <v>28604</v>
      </c>
      <c r="F181" t="s">
        <v>732</v>
      </c>
      <c r="H181" s="39" t="s">
        <v>8</v>
      </c>
    </row>
    <row r="182" spans="1:8" x14ac:dyDescent="0.3">
      <c r="A182" s="39" t="s">
        <v>44</v>
      </c>
      <c r="B182" s="135" t="s">
        <v>733</v>
      </c>
      <c r="C182" s="41">
        <v>46140</v>
      </c>
      <c r="D182" s="39" t="s">
        <v>328</v>
      </c>
      <c r="E182" s="40">
        <v>27011</v>
      </c>
      <c r="F182" t="s">
        <v>734</v>
      </c>
      <c r="G182" s="39" t="s">
        <v>817</v>
      </c>
      <c r="H182" s="39" t="s">
        <v>8</v>
      </c>
    </row>
    <row r="183" spans="1:8" x14ac:dyDescent="0.3">
      <c r="A183" s="39" t="s">
        <v>44</v>
      </c>
      <c r="B183" s="135" t="s">
        <v>735</v>
      </c>
      <c r="C183" s="41">
        <v>46141</v>
      </c>
      <c r="D183" s="39" t="s">
        <v>351</v>
      </c>
      <c r="E183" s="40">
        <v>42339</v>
      </c>
      <c r="F183" s="39" t="s">
        <v>736</v>
      </c>
      <c r="H183" s="39" t="s">
        <v>7</v>
      </c>
    </row>
    <row r="184" spans="1:8" x14ac:dyDescent="0.3">
      <c r="A184" s="39" t="s">
        <v>44</v>
      </c>
      <c r="B184" s="135">
        <v>26127921</v>
      </c>
      <c r="C184" s="41">
        <v>46141</v>
      </c>
      <c r="D184" s="39" t="s">
        <v>351</v>
      </c>
      <c r="E184" s="40">
        <v>23743</v>
      </c>
      <c r="F184" t="s">
        <v>737</v>
      </c>
      <c r="H184" s="39" t="s">
        <v>7</v>
      </c>
    </row>
    <row r="185" spans="1:8" x14ac:dyDescent="0.3">
      <c r="A185" s="39" t="s">
        <v>43</v>
      </c>
      <c r="B185" s="135">
        <v>26127922</v>
      </c>
      <c r="C185" s="41">
        <v>46141</v>
      </c>
      <c r="D185" s="39" t="s">
        <v>351</v>
      </c>
      <c r="E185" s="40">
        <v>23743</v>
      </c>
      <c r="F185" t="s">
        <v>737</v>
      </c>
      <c r="H185" s="39" t="s">
        <v>7</v>
      </c>
    </row>
    <row r="186" spans="1:8" x14ac:dyDescent="0.3">
      <c r="A186" s="39" t="s">
        <v>43</v>
      </c>
      <c r="B186" s="135">
        <v>26127923</v>
      </c>
      <c r="C186" s="41">
        <v>46141</v>
      </c>
      <c r="D186" s="39" t="s">
        <v>351</v>
      </c>
      <c r="E186" s="40">
        <v>23743</v>
      </c>
      <c r="F186" t="s">
        <v>737</v>
      </c>
      <c r="H186" s="39" t="s">
        <v>7</v>
      </c>
    </row>
    <row r="187" spans="1:8" x14ac:dyDescent="0.3">
      <c r="A187" s="39" t="s">
        <v>43</v>
      </c>
      <c r="B187" s="135">
        <v>26127924</v>
      </c>
      <c r="C187" s="41">
        <v>46141</v>
      </c>
      <c r="D187" s="39" t="s">
        <v>351</v>
      </c>
      <c r="E187" s="40">
        <v>23743</v>
      </c>
      <c r="F187" t="s">
        <v>737</v>
      </c>
      <c r="H187" s="39" t="s">
        <v>7</v>
      </c>
    </row>
    <row r="188" spans="1:8" x14ac:dyDescent="0.3">
      <c r="A188" s="39" t="s">
        <v>39</v>
      </c>
      <c r="B188" s="135" t="s">
        <v>738</v>
      </c>
      <c r="C188" s="41">
        <v>46141</v>
      </c>
      <c r="D188" s="39" t="s">
        <v>351</v>
      </c>
      <c r="E188" s="40">
        <v>34407</v>
      </c>
      <c r="F188" s="39" t="s">
        <v>739</v>
      </c>
      <c r="H188" s="39" t="s">
        <v>7</v>
      </c>
    </row>
    <row r="189" spans="1:8" x14ac:dyDescent="0.3">
      <c r="A189" s="39" t="s">
        <v>39</v>
      </c>
      <c r="B189" s="135">
        <v>26136153</v>
      </c>
      <c r="C189" s="41">
        <v>46141</v>
      </c>
      <c r="D189" s="39" t="s">
        <v>351</v>
      </c>
      <c r="E189" s="40">
        <v>42502</v>
      </c>
      <c r="F189" s="39" t="s">
        <v>740</v>
      </c>
      <c r="H189" s="39" t="s">
        <v>7</v>
      </c>
    </row>
    <row r="190" spans="1:8" ht="15.75" customHeight="1" x14ac:dyDescent="0.3">
      <c r="A190" s="39" t="s">
        <v>39</v>
      </c>
      <c r="B190" s="135" t="s">
        <v>741</v>
      </c>
      <c r="C190" s="41">
        <v>46141</v>
      </c>
      <c r="D190" s="39" t="s">
        <v>351</v>
      </c>
      <c r="E190" s="40">
        <v>42502</v>
      </c>
      <c r="F190" s="39" t="s">
        <v>740</v>
      </c>
      <c r="H190" s="39" t="s">
        <v>7</v>
      </c>
    </row>
    <row r="191" spans="1:8" ht="15.75" customHeight="1" x14ac:dyDescent="0.3">
      <c r="A191" s="39" t="s">
        <v>39</v>
      </c>
      <c r="B191" s="135" t="s">
        <v>742</v>
      </c>
      <c r="C191" s="41">
        <v>46141</v>
      </c>
      <c r="D191" s="39" t="s">
        <v>351</v>
      </c>
      <c r="E191" s="40">
        <v>34238</v>
      </c>
      <c r="F191" s="39" t="s">
        <v>743</v>
      </c>
      <c r="H191" s="39" t="s">
        <v>7</v>
      </c>
    </row>
    <row r="192" spans="1:8" ht="15.75" customHeight="1" x14ac:dyDescent="0.3">
      <c r="A192" s="39" t="s">
        <v>44</v>
      </c>
      <c r="B192" s="135" t="s">
        <v>744</v>
      </c>
      <c r="C192" s="41">
        <v>46141</v>
      </c>
      <c r="D192" s="39" t="s">
        <v>351</v>
      </c>
      <c r="E192" s="40">
        <v>28961</v>
      </c>
      <c r="F192" s="39" t="s">
        <v>745</v>
      </c>
      <c r="H192" s="39" t="s">
        <v>7</v>
      </c>
    </row>
    <row r="193" spans="1:8" x14ac:dyDescent="0.3">
      <c r="A193" s="39" t="s">
        <v>44</v>
      </c>
      <c r="B193" s="135" t="s">
        <v>746</v>
      </c>
      <c r="C193" s="41">
        <v>46141</v>
      </c>
      <c r="D193" s="39" t="s">
        <v>173</v>
      </c>
      <c r="E193" s="40">
        <v>31193</v>
      </c>
      <c r="F193" s="39" t="s">
        <v>757</v>
      </c>
      <c r="G193" s="39" t="s">
        <v>773</v>
      </c>
      <c r="H193" s="39" t="s">
        <v>32</v>
      </c>
    </row>
    <row r="194" spans="1:8" x14ac:dyDescent="0.3">
      <c r="A194" s="39" t="s">
        <v>38</v>
      </c>
      <c r="B194" s="135" t="s">
        <v>747</v>
      </c>
      <c r="C194" s="41">
        <v>46141</v>
      </c>
      <c r="D194" s="39" t="s">
        <v>173</v>
      </c>
      <c r="E194" s="40">
        <v>31175</v>
      </c>
      <c r="F194" s="39" t="s">
        <v>758</v>
      </c>
      <c r="G194" s="39" t="s">
        <v>772</v>
      </c>
      <c r="H194" s="39" t="s">
        <v>32</v>
      </c>
    </row>
    <row r="195" spans="1:8" x14ac:dyDescent="0.3">
      <c r="A195" s="39" t="s">
        <v>44</v>
      </c>
      <c r="B195" s="135" t="s">
        <v>748</v>
      </c>
      <c r="C195" s="41">
        <v>46141</v>
      </c>
      <c r="D195" s="39" t="s">
        <v>173</v>
      </c>
      <c r="E195" s="40" t="s">
        <v>774</v>
      </c>
      <c r="F195" s="39" t="s">
        <v>759</v>
      </c>
      <c r="G195" s="50" t="s">
        <v>797</v>
      </c>
      <c r="H195" s="39" t="s">
        <v>32</v>
      </c>
    </row>
    <row r="196" spans="1:8" x14ac:dyDescent="0.3">
      <c r="A196" s="39" t="s">
        <v>38</v>
      </c>
      <c r="B196" s="135" t="s">
        <v>749</v>
      </c>
      <c r="C196" s="41">
        <v>46141</v>
      </c>
      <c r="D196" s="39" t="s">
        <v>173</v>
      </c>
      <c r="E196" s="40" t="s">
        <v>775</v>
      </c>
      <c r="F196" s="39" t="s">
        <v>760</v>
      </c>
      <c r="G196" s="39" t="s">
        <v>772</v>
      </c>
      <c r="H196" s="39" t="s">
        <v>32</v>
      </c>
    </row>
    <row r="197" spans="1:8" x14ac:dyDescent="0.3">
      <c r="A197" s="39" t="s">
        <v>44</v>
      </c>
      <c r="B197" s="135" t="s">
        <v>750</v>
      </c>
      <c r="C197" s="41">
        <v>46141</v>
      </c>
      <c r="D197" s="39" t="s">
        <v>173</v>
      </c>
      <c r="E197" s="40">
        <v>31202</v>
      </c>
      <c r="F197" s="39" t="s">
        <v>761</v>
      </c>
      <c r="G197" s="39" t="s">
        <v>773</v>
      </c>
      <c r="H197" s="39" t="s">
        <v>6</v>
      </c>
    </row>
    <row r="198" spans="1:8" x14ac:dyDescent="0.3">
      <c r="A198" s="39" t="s">
        <v>38</v>
      </c>
      <c r="B198" s="135" t="s">
        <v>751</v>
      </c>
      <c r="C198" s="41">
        <v>46141</v>
      </c>
      <c r="D198" s="39" t="s">
        <v>173</v>
      </c>
      <c r="E198" s="40">
        <v>30687</v>
      </c>
      <c r="F198" s="39" t="s">
        <v>762</v>
      </c>
      <c r="G198" s="39" t="s">
        <v>772</v>
      </c>
      <c r="H198" s="39" t="s">
        <v>6</v>
      </c>
    </row>
    <row r="199" spans="1:8" x14ac:dyDescent="0.3">
      <c r="A199" s="39" t="s">
        <v>44</v>
      </c>
      <c r="B199" s="135">
        <v>2679568</v>
      </c>
      <c r="C199" s="41">
        <v>46141</v>
      </c>
      <c r="D199" s="39" t="s">
        <v>173</v>
      </c>
      <c r="E199" s="40" t="s">
        <v>771</v>
      </c>
      <c r="F199" s="39" t="s">
        <v>763</v>
      </c>
      <c r="G199" s="39" t="s">
        <v>796</v>
      </c>
      <c r="H199" s="39" t="s">
        <v>2</v>
      </c>
    </row>
    <row r="200" spans="1:8" x14ac:dyDescent="0.3">
      <c r="A200" s="39" t="s">
        <v>44</v>
      </c>
      <c r="B200" s="135" t="s">
        <v>752</v>
      </c>
      <c r="C200" s="41">
        <v>46141</v>
      </c>
      <c r="D200" s="39" t="s">
        <v>173</v>
      </c>
      <c r="E200" s="40">
        <v>31155</v>
      </c>
      <c r="F200" s="39" t="s">
        <v>764</v>
      </c>
      <c r="G200" s="39" t="s">
        <v>772</v>
      </c>
      <c r="H200" s="39" t="s">
        <v>2</v>
      </c>
    </row>
    <row r="201" spans="1:8" x14ac:dyDescent="0.3">
      <c r="A201" s="39" t="s">
        <v>44</v>
      </c>
      <c r="B201" s="135">
        <v>2680545</v>
      </c>
      <c r="C201" s="41">
        <v>46141</v>
      </c>
      <c r="D201" s="39" t="s">
        <v>173</v>
      </c>
      <c r="E201" s="40">
        <v>31005</v>
      </c>
      <c r="F201" s="39" t="s">
        <v>765</v>
      </c>
      <c r="G201" s="39" t="s">
        <v>772</v>
      </c>
      <c r="H201" s="39" t="s">
        <v>2</v>
      </c>
    </row>
    <row r="202" spans="1:8" x14ac:dyDescent="0.3">
      <c r="A202" s="39" t="s">
        <v>44</v>
      </c>
      <c r="B202" s="135" t="s">
        <v>753</v>
      </c>
      <c r="C202" s="41">
        <v>46141</v>
      </c>
      <c r="D202" s="39" t="s">
        <v>173</v>
      </c>
      <c r="E202" s="40">
        <v>30150</v>
      </c>
      <c r="F202" s="39" t="s">
        <v>766</v>
      </c>
      <c r="G202" s="39" t="s">
        <v>772</v>
      </c>
      <c r="H202" s="39" t="s">
        <v>2</v>
      </c>
    </row>
    <row r="203" spans="1:8" x14ac:dyDescent="0.3">
      <c r="A203" s="39" t="s">
        <v>38</v>
      </c>
      <c r="B203" s="135" t="s">
        <v>754</v>
      </c>
      <c r="C203" s="41">
        <v>46141</v>
      </c>
      <c r="D203" s="39" t="s">
        <v>173</v>
      </c>
      <c r="E203" s="40">
        <v>30927</v>
      </c>
      <c r="F203" s="39" t="s">
        <v>767</v>
      </c>
      <c r="G203" s="39" t="s">
        <v>772</v>
      </c>
      <c r="H203" s="39" t="s">
        <v>2</v>
      </c>
    </row>
    <row r="204" spans="1:8" x14ac:dyDescent="0.3">
      <c r="A204" s="39" t="s">
        <v>39</v>
      </c>
      <c r="B204" s="135" t="s">
        <v>755</v>
      </c>
      <c r="C204" s="41">
        <v>46141</v>
      </c>
      <c r="D204" s="39" t="s">
        <v>173</v>
      </c>
      <c r="E204" s="40">
        <v>30876</v>
      </c>
      <c r="F204" s="39" t="s">
        <v>768</v>
      </c>
      <c r="G204" s="39" t="s">
        <v>772</v>
      </c>
      <c r="H204" s="39" t="s">
        <v>2</v>
      </c>
    </row>
    <row r="205" spans="1:8" x14ac:dyDescent="0.3">
      <c r="A205" s="39" t="s">
        <v>42</v>
      </c>
      <c r="B205" s="135" t="s">
        <v>756</v>
      </c>
      <c r="C205" s="41">
        <v>46141</v>
      </c>
      <c r="D205" s="39" t="s">
        <v>173</v>
      </c>
      <c r="E205" s="40">
        <v>31163</v>
      </c>
      <c r="F205" s="39" t="s">
        <v>769</v>
      </c>
      <c r="G205" s="39" t="s">
        <v>772</v>
      </c>
      <c r="H205" s="39" t="s">
        <v>2</v>
      </c>
    </row>
    <row r="206" spans="1:8" x14ac:dyDescent="0.3">
      <c r="A206" s="39" t="s">
        <v>38</v>
      </c>
      <c r="B206" s="135">
        <v>26100232</v>
      </c>
      <c r="C206" s="41">
        <v>46141</v>
      </c>
      <c r="D206" s="39" t="s">
        <v>173</v>
      </c>
      <c r="E206" s="40">
        <v>30894</v>
      </c>
      <c r="F206" s="39" t="s">
        <v>770</v>
      </c>
      <c r="G206" s="39" t="s">
        <v>772</v>
      </c>
      <c r="H206" s="39" t="s">
        <v>6</v>
      </c>
    </row>
    <row r="207" spans="1:8" x14ac:dyDescent="0.3">
      <c r="A207" s="39" t="s">
        <v>43</v>
      </c>
      <c r="B207" s="135" t="s">
        <v>776</v>
      </c>
      <c r="C207" s="41">
        <v>46142</v>
      </c>
      <c r="D207" s="39" t="s">
        <v>317</v>
      </c>
      <c r="E207" s="40">
        <v>30725</v>
      </c>
      <c r="F207" s="39" t="s">
        <v>777</v>
      </c>
      <c r="G207" s="39" t="s">
        <v>778</v>
      </c>
      <c r="H207" s="39" t="s">
        <v>8</v>
      </c>
    </row>
    <row r="208" spans="1:8" x14ac:dyDescent="0.3">
      <c r="A208" s="39" t="s">
        <v>44</v>
      </c>
      <c r="B208" s="135" t="s">
        <v>779</v>
      </c>
      <c r="C208" s="41">
        <v>46142</v>
      </c>
      <c r="D208" s="39" t="s">
        <v>328</v>
      </c>
      <c r="E208" s="40">
        <v>12307</v>
      </c>
      <c r="F208" s="39" t="s">
        <v>780</v>
      </c>
      <c r="H208" s="39" t="s">
        <v>8</v>
      </c>
    </row>
    <row r="209" spans="1:8" x14ac:dyDescent="0.3">
      <c r="A209" s="39" t="s">
        <v>41</v>
      </c>
      <c r="B209" s="135" t="s">
        <v>781</v>
      </c>
      <c r="C209" s="41">
        <v>46142</v>
      </c>
      <c r="D209" s="39" t="s">
        <v>328</v>
      </c>
      <c r="E209" s="40">
        <v>23874</v>
      </c>
      <c r="F209" s="39" t="s">
        <v>782</v>
      </c>
      <c r="H209" s="39" t="s">
        <v>15</v>
      </c>
    </row>
    <row r="210" spans="1:8" x14ac:dyDescent="0.3">
      <c r="A210" s="39" t="s">
        <v>44</v>
      </c>
      <c r="B210" s="135">
        <v>26140267</v>
      </c>
      <c r="C210" s="41">
        <v>46142</v>
      </c>
      <c r="D210" s="39" t="s">
        <v>328</v>
      </c>
      <c r="E210" s="40">
        <v>20540</v>
      </c>
      <c r="F210" s="39" t="s">
        <v>783</v>
      </c>
      <c r="H210" s="39" t="s">
        <v>8</v>
      </c>
    </row>
    <row r="211" spans="1:8" x14ac:dyDescent="0.3">
      <c r="A211" s="39" t="s">
        <v>44</v>
      </c>
      <c r="B211" s="135">
        <v>26141977</v>
      </c>
      <c r="C211" s="41">
        <v>46142</v>
      </c>
      <c r="D211" s="39" t="s">
        <v>328</v>
      </c>
      <c r="E211" s="40">
        <v>18828</v>
      </c>
      <c r="F211" s="39" t="s">
        <v>784</v>
      </c>
      <c r="H211" s="39" t="s">
        <v>18</v>
      </c>
    </row>
    <row r="212" spans="1:8" x14ac:dyDescent="0.3">
      <c r="A212" s="39" t="s">
        <v>41</v>
      </c>
      <c r="B212" s="135" t="s">
        <v>785</v>
      </c>
      <c r="C212" s="41">
        <v>46142</v>
      </c>
      <c r="D212" s="39" t="s">
        <v>328</v>
      </c>
      <c r="E212" s="40">
        <v>20079</v>
      </c>
      <c r="F212" s="39" t="s">
        <v>786</v>
      </c>
      <c r="H212" s="39" t="s">
        <v>18</v>
      </c>
    </row>
    <row r="213" spans="1:8" x14ac:dyDescent="0.3">
      <c r="A213" s="39" t="s">
        <v>44</v>
      </c>
      <c r="B213" s="135" t="s">
        <v>787</v>
      </c>
      <c r="C213" s="41">
        <v>46142</v>
      </c>
      <c r="D213" s="39" t="s">
        <v>317</v>
      </c>
      <c r="E213" s="40">
        <v>30931</v>
      </c>
      <c r="F213" s="39" t="s">
        <v>788</v>
      </c>
      <c r="H213" s="39" t="s">
        <v>18</v>
      </c>
    </row>
    <row r="214" spans="1:8" x14ac:dyDescent="0.3">
      <c r="A214" s="39" t="s">
        <v>44</v>
      </c>
      <c r="B214" s="135" t="s">
        <v>789</v>
      </c>
      <c r="C214" s="41">
        <v>46146</v>
      </c>
      <c r="D214" s="39" t="s">
        <v>328</v>
      </c>
      <c r="E214" s="40">
        <v>28750</v>
      </c>
      <c r="F214" s="39" t="s">
        <v>790</v>
      </c>
      <c r="H214" s="39" t="s">
        <v>11</v>
      </c>
    </row>
    <row r="215" spans="1:8" x14ac:dyDescent="0.3">
      <c r="A215" s="39" t="s">
        <v>44</v>
      </c>
      <c r="B215" s="135">
        <v>26141237</v>
      </c>
      <c r="C215" s="41">
        <v>46146</v>
      </c>
      <c r="D215" s="39" t="s">
        <v>328</v>
      </c>
      <c r="E215" s="40">
        <v>28277</v>
      </c>
      <c r="F215" s="39" t="s">
        <v>712</v>
      </c>
      <c r="H215" s="39" t="s">
        <v>11</v>
      </c>
    </row>
    <row r="216" spans="1:8" x14ac:dyDescent="0.3">
      <c r="A216" s="39" t="s">
        <v>44</v>
      </c>
      <c r="B216" s="135" t="s">
        <v>791</v>
      </c>
      <c r="C216" s="41">
        <v>46146</v>
      </c>
      <c r="D216" s="39" t="s">
        <v>317</v>
      </c>
      <c r="E216" s="40">
        <v>20659</v>
      </c>
      <c r="F216" s="39" t="s">
        <v>792</v>
      </c>
      <c r="G216" s="50" t="s">
        <v>838</v>
      </c>
      <c r="H216" s="39" t="s">
        <v>11</v>
      </c>
    </row>
    <row r="217" spans="1:8" x14ac:dyDescent="0.3">
      <c r="A217" s="39" t="s">
        <v>44</v>
      </c>
      <c r="B217" s="135" t="s">
        <v>793</v>
      </c>
      <c r="C217" s="41">
        <v>46146</v>
      </c>
      <c r="D217" s="39" t="s">
        <v>317</v>
      </c>
      <c r="E217" s="40">
        <v>30578</v>
      </c>
      <c r="F217" s="39" t="s">
        <v>727</v>
      </c>
      <c r="H217" s="39" t="s">
        <v>8</v>
      </c>
    </row>
    <row r="218" spans="1:8" x14ac:dyDescent="0.3">
      <c r="A218" s="39" t="s">
        <v>44</v>
      </c>
      <c r="B218" s="135" t="s">
        <v>794</v>
      </c>
      <c r="C218" s="41">
        <v>46146</v>
      </c>
      <c r="D218" s="39" t="s">
        <v>339</v>
      </c>
      <c r="E218" s="40">
        <v>30221</v>
      </c>
      <c r="F218" s="39" t="s">
        <v>795</v>
      </c>
      <c r="H218" s="39" t="s">
        <v>18</v>
      </c>
    </row>
    <row r="219" spans="1:8" x14ac:dyDescent="0.3">
      <c r="A219" s="39" t="s">
        <v>44</v>
      </c>
      <c r="B219" s="135">
        <v>145524</v>
      </c>
      <c r="C219" s="41">
        <v>46146</v>
      </c>
      <c r="D219" s="39" t="s">
        <v>328</v>
      </c>
      <c r="E219" s="40">
        <v>15715</v>
      </c>
      <c r="F219" s="39" t="s">
        <v>799</v>
      </c>
      <c r="H219" s="39" t="s">
        <v>8</v>
      </c>
    </row>
    <row r="220" spans="1:8" x14ac:dyDescent="0.3">
      <c r="A220" s="39" t="s">
        <v>44</v>
      </c>
      <c r="B220" s="135">
        <v>136681</v>
      </c>
      <c r="C220" s="41">
        <v>46146</v>
      </c>
      <c r="D220" s="39" t="s">
        <v>328</v>
      </c>
      <c r="E220" s="40">
        <v>23563</v>
      </c>
      <c r="F220" s="39" t="s">
        <v>798</v>
      </c>
      <c r="H220" s="39" t="s">
        <v>8</v>
      </c>
    </row>
    <row r="221" spans="1:8" x14ac:dyDescent="0.3">
      <c r="A221" s="39" t="s">
        <v>45</v>
      </c>
      <c r="B221" s="135" t="s">
        <v>800</v>
      </c>
      <c r="C221" s="41">
        <v>46146</v>
      </c>
      <c r="D221" s="39" t="s">
        <v>328</v>
      </c>
      <c r="E221" s="40">
        <v>27936</v>
      </c>
      <c r="F221" s="39" t="s">
        <v>801</v>
      </c>
      <c r="H221" s="39" t="s">
        <v>15</v>
      </c>
    </row>
    <row r="222" spans="1:8" x14ac:dyDescent="0.3">
      <c r="A222" s="39" t="s">
        <v>44</v>
      </c>
      <c r="B222" s="135" t="s">
        <v>802</v>
      </c>
      <c r="C222" s="41">
        <v>46147</v>
      </c>
      <c r="D222" s="39" t="s">
        <v>328</v>
      </c>
      <c r="E222" s="40">
        <v>25094</v>
      </c>
      <c r="F222" s="39" t="s">
        <v>803</v>
      </c>
      <c r="H222" s="39" t="s">
        <v>8</v>
      </c>
    </row>
    <row r="223" spans="1:8" x14ac:dyDescent="0.3">
      <c r="A223" s="39" t="s">
        <v>44</v>
      </c>
      <c r="B223" s="135">
        <v>26141999</v>
      </c>
      <c r="C223" s="41">
        <v>46147</v>
      </c>
      <c r="D223" s="39" t="s">
        <v>328</v>
      </c>
      <c r="E223" s="40">
        <v>15410</v>
      </c>
      <c r="F223" s="39" t="s">
        <v>804</v>
      </c>
      <c r="H223" s="39" t="s">
        <v>8</v>
      </c>
    </row>
    <row r="224" spans="1:8" x14ac:dyDescent="0.3">
      <c r="A224" s="39" t="s">
        <v>43</v>
      </c>
      <c r="B224" s="135">
        <v>26143085</v>
      </c>
      <c r="C224" s="41">
        <v>46147</v>
      </c>
      <c r="D224" s="39" t="s">
        <v>328</v>
      </c>
      <c r="E224" s="40">
        <v>22185</v>
      </c>
      <c r="F224" s="39" t="s">
        <v>805</v>
      </c>
      <c r="H224" s="39" t="s">
        <v>11</v>
      </c>
    </row>
    <row r="225" spans="1:8" x14ac:dyDescent="0.3">
      <c r="A225" s="39" t="s">
        <v>44</v>
      </c>
      <c r="B225" s="135">
        <v>26143623</v>
      </c>
      <c r="C225" s="41">
        <v>46147</v>
      </c>
      <c r="D225" s="39" t="s">
        <v>317</v>
      </c>
      <c r="E225" s="40">
        <v>30616</v>
      </c>
      <c r="F225" s="39" t="s">
        <v>806</v>
      </c>
      <c r="H225" s="39" t="s">
        <v>18</v>
      </c>
    </row>
    <row r="226" spans="1:8" x14ac:dyDescent="0.3">
      <c r="A226" s="39" t="s">
        <v>44</v>
      </c>
      <c r="B226" s="135" t="s">
        <v>807</v>
      </c>
      <c r="C226" s="41">
        <v>46147</v>
      </c>
      <c r="D226" s="39" t="s">
        <v>317</v>
      </c>
      <c r="E226" s="40">
        <v>27184</v>
      </c>
      <c r="F226" s="39" t="s">
        <v>808</v>
      </c>
      <c r="H226" s="39" t="s">
        <v>18</v>
      </c>
    </row>
    <row r="227" spans="1:8" x14ac:dyDescent="0.3">
      <c r="A227" s="39" t="s">
        <v>44</v>
      </c>
      <c r="B227" s="135">
        <v>26144303</v>
      </c>
      <c r="C227" s="41">
        <v>46147</v>
      </c>
      <c r="D227" s="39" t="s">
        <v>317</v>
      </c>
      <c r="E227" s="40">
        <v>30624</v>
      </c>
      <c r="F227" s="39" t="s">
        <v>810</v>
      </c>
      <c r="H227" s="39" t="s">
        <v>18</v>
      </c>
    </row>
    <row r="228" spans="1:8" x14ac:dyDescent="0.3">
      <c r="A228" s="39" t="s">
        <v>44</v>
      </c>
      <c r="B228" s="135" t="s">
        <v>811</v>
      </c>
      <c r="C228" s="41">
        <v>46147</v>
      </c>
      <c r="D228" s="39" t="s">
        <v>328</v>
      </c>
      <c r="E228" s="40">
        <v>30352</v>
      </c>
      <c r="F228" s="39" t="s">
        <v>812</v>
      </c>
      <c r="H228" s="39" t="s">
        <v>18</v>
      </c>
    </row>
    <row r="229" spans="1:8" x14ac:dyDescent="0.3">
      <c r="A229" s="39" t="s">
        <v>44</v>
      </c>
      <c r="B229" s="135" t="s">
        <v>813</v>
      </c>
      <c r="C229" s="41">
        <v>46147</v>
      </c>
      <c r="D229" s="39" t="s">
        <v>328</v>
      </c>
      <c r="E229" s="40">
        <v>19925</v>
      </c>
      <c r="F229" s="39" t="s">
        <v>814</v>
      </c>
      <c r="G229" s="39" t="s">
        <v>815</v>
      </c>
      <c r="H229" s="39" t="s">
        <v>8</v>
      </c>
    </row>
    <row r="230" spans="1:8" x14ac:dyDescent="0.3">
      <c r="A230" s="39" t="s">
        <v>44</v>
      </c>
      <c r="B230" s="135" t="s">
        <v>818</v>
      </c>
      <c r="C230" s="41">
        <v>46147</v>
      </c>
      <c r="D230" s="39" t="s">
        <v>220</v>
      </c>
      <c r="E230" s="40">
        <v>23587</v>
      </c>
      <c r="F230" s="39" t="s">
        <v>819</v>
      </c>
      <c r="H230" s="39" t="s">
        <v>11</v>
      </c>
    </row>
    <row r="231" spans="1:8" x14ac:dyDescent="0.3">
      <c r="A231" s="39" t="s">
        <v>44</v>
      </c>
      <c r="B231" s="135">
        <v>26142872</v>
      </c>
      <c r="C231" s="41">
        <v>46148</v>
      </c>
      <c r="D231" s="39" t="s">
        <v>224</v>
      </c>
      <c r="E231" s="40">
        <v>14707</v>
      </c>
      <c r="F231" s="39" t="s">
        <v>820</v>
      </c>
      <c r="H231" s="39" t="s">
        <v>12</v>
      </c>
    </row>
    <row r="232" spans="1:8" x14ac:dyDescent="0.3">
      <c r="A232" s="39" t="s">
        <v>44</v>
      </c>
      <c r="B232" s="135" t="s">
        <v>821</v>
      </c>
      <c r="C232" s="41">
        <v>46148</v>
      </c>
      <c r="D232" s="39" t="s">
        <v>339</v>
      </c>
      <c r="E232" s="40">
        <v>13390</v>
      </c>
      <c r="F232" s="39" t="s">
        <v>822</v>
      </c>
      <c r="H232" s="39" t="s">
        <v>11</v>
      </c>
    </row>
    <row r="233" spans="1:8" x14ac:dyDescent="0.3">
      <c r="A233" s="39" t="s">
        <v>44</v>
      </c>
      <c r="B233" s="135" t="s">
        <v>823</v>
      </c>
      <c r="C233" s="41">
        <v>46148</v>
      </c>
      <c r="D233" s="39" t="s">
        <v>317</v>
      </c>
      <c r="E233" s="40">
        <v>19963</v>
      </c>
      <c r="F233" s="39" t="s">
        <v>824</v>
      </c>
      <c r="H233" s="39" t="s">
        <v>12</v>
      </c>
    </row>
    <row r="234" spans="1:8" x14ac:dyDescent="0.3">
      <c r="A234" s="39" t="s">
        <v>44</v>
      </c>
      <c r="B234" s="135" t="s">
        <v>825</v>
      </c>
      <c r="C234" s="41">
        <v>46148</v>
      </c>
      <c r="D234" s="39" t="s">
        <v>328</v>
      </c>
      <c r="E234" s="40">
        <v>26714</v>
      </c>
      <c r="F234" s="39" t="s">
        <v>826</v>
      </c>
      <c r="H234" s="39" t="s">
        <v>11</v>
      </c>
    </row>
    <row r="235" spans="1:8" x14ac:dyDescent="0.3">
      <c r="A235" s="39" t="s">
        <v>44</v>
      </c>
      <c r="B235" s="135" t="s">
        <v>827</v>
      </c>
      <c r="C235" s="41">
        <v>46148</v>
      </c>
      <c r="D235" s="39" t="s">
        <v>328</v>
      </c>
      <c r="E235" s="40">
        <v>6006</v>
      </c>
      <c r="F235" s="39" t="s">
        <v>828</v>
      </c>
      <c r="H235" s="39" t="s">
        <v>8</v>
      </c>
    </row>
    <row r="236" spans="1:8" x14ac:dyDescent="0.3">
      <c r="A236" s="39" t="s">
        <v>44</v>
      </c>
      <c r="B236" s="135" t="s">
        <v>829</v>
      </c>
      <c r="C236" s="41">
        <v>46148</v>
      </c>
      <c r="D236" s="39" t="s">
        <v>319</v>
      </c>
      <c r="E236" s="40">
        <v>25892</v>
      </c>
      <c r="F236" s="39" t="s">
        <v>830</v>
      </c>
      <c r="H236" s="39" t="s">
        <v>8</v>
      </c>
    </row>
    <row r="237" spans="1:8" x14ac:dyDescent="0.3">
      <c r="A237" s="39" t="s">
        <v>44</v>
      </c>
      <c r="B237" s="135" t="s">
        <v>831</v>
      </c>
      <c r="C237" s="41">
        <v>46148</v>
      </c>
      <c r="D237" s="39" t="s">
        <v>319</v>
      </c>
      <c r="E237" s="40">
        <v>14304</v>
      </c>
      <c r="F237" s="39" t="s">
        <v>832</v>
      </c>
      <c r="H237" s="39" t="s">
        <v>8</v>
      </c>
    </row>
    <row r="238" spans="1:8" x14ac:dyDescent="0.3">
      <c r="A238" s="39" t="s">
        <v>44</v>
      </c>
      <c r="B238" s="135" t="s">
        <v>833</v>
      </c>
      <c r="C238" s="41">
        <v>46148</v>
      </c>
      <c r="D238" s="39" t="s">
        <v>328</v>
      </c>
      <c r="E238" s="40">
        <v>23161</v>
      </c>
      <c r="F238" s="39" t="s">
        <v>834</v>
      </c>
      <c r="H238" s="39" t="s">
        <v>8</v>
      </c>
    </row>
    <row r="239" spans="1:8" x14ac:dyDescent="0.3">
      <c r="A239" s="39" t="s">
        <v>44</v>
      </c>
      <c r="B239" s="135" t="s">
        <v>835</v>
      </c>
      <c r="C239" s="41">
        <v>46148</v>
      </c>
      <c r="D239" s="39" t="s">
        <v>326</v>
      </c>
      <c r="E239" s="40">
        <v>21855</v>
      </c>
      <c r="F239" s="39" t="s">
        <v>836</v>
      </c>
      <c r="H239" s="39" t="s">
        <v>8</v>
      </c>
    </row>
    <row r="240" spans="1:8" x14ac:dyDescent="0.3">
      <c r="A240" s="39" t="s">
        <v>39</v>
      </c>
      <c r="B240" s="135">
        <v>26144327</v>
      </c>
      <c r="C240" s="41">
        <v>46148</v>
      </c>
      <c r="D240" s="39" t="s">
        <v>328</v>
      </c>
      <c r="E240" s="40">
        <v>25937</v>
      </c>
      <c r="F240" s="39" t="s">
        <v>837</v>
      </c>
      <c r="G240" s="39" t="s">
        <v>995</v>
      </c>
      <c r="H240" s="39" t="s">
        <v>11</v>
      </c>
    </row>
    <row r="241" spans="1:8" x14ac:dyDescent="0.3">
      <c r="A241" s="39" t="s">
        <v>44</v>
      </c>
      <c r="B241" s="135">
        <v>26145160</v>
      </c>
      <c r="C241" s="41">
        <v>46148</v>
      </c>
      <c r="D241" s="39" t="s">
        <v>328</v>
      </c>
      <c r="E241" s="40">
        <v>7863</v>
      </c>
      <c r="F241" s="39" t="s">
        <v>839</v>
      </c>
      <c r="G241" s="50" t="s">
        <v>844</v>
      </c>
      <c r="H241" s="39" t="s">
        <v>18</v>
      </c>
    </row>
    <row r="242" spans="1:8" x14ac:dyDescent="0.3">
      <c r="A242" s="39" t="s">
        <v>44</v>
      </c>
      <c r="B242" s="135" t="s">
        <v>840</v>
      </c>
      <c r="C242" s="41">
        <v>46148</v>
      </c>
      <c r="D242" s="39" t="s">
        <v>326</v>
      </c>
      <c r="E242" s="40">
        <v>13229</v>
      </c>
      <c r="F242" s="39" t="s">
        <v>841</v>
      </c>
      <c r="G242" s="50" t="s">
        <v>842</v>
      </c>
      <c r="H242" s="39" t="s">
        <v>8</v>
      </c>
    </row>
    <row r="243" spans="1:8" x14ac:dyDescent="0.3">
      <c r="A243" s="39" t="s">
        <v>44</v>
      </c>
      <c r="B243" s="135">
        <v>26145601</v>
      </c>
      <c r="C243" s="41">
        <v>46148</v>
      </c>
      <c r="D243" s="39" t="s">
        <v>328</v>
      </c>
      <c r="E243" s="40">
        <v>13104</v>
      </c>
      <c r="F243" s="39" t="s">
        <v>843</v>
      </c>
      <c r="G243" s="39" t="s">
        <v>844</v>
      </c>
      <c r="H243" s="39" t="s">
        <v>18</v>
      </c>
    </row>
    <row r="244" spans="1:8" x14ac:dyDescent="0.3">
      <c r="A244" s="39" t="s">
        <v>44</v>
      </c>
      <c r="B244" s="135" t="s">
        <v>845</v>
      </c>
      <c r="C244" s="41">
        <v>46148</v>
      </c>
      <c r="D244" s="39" t="s">
        <v>326</v>
      </c>
      <c r="E244" s="40">
        <v>14820</v>
      </c>
      <c r="F244" s="39" t="s">
        <v>846</v>
      </c>
      <c r="H244" s="39" t="s">
        <v>18</v>
      </c>
    </row>
    <row r="245" spans="1:8" x14ac:dyDescent="0.3">
      <c r="A245" s="39" t="s">
        <v>44</v>
      </c>
      <c r="B245" s="135">
        <v>26146353</v>
      </c>
      <c r="C245" s="41">
        <v>46148</v>
      </c>
      <c r="D245" s="39" t="s">
        <v>328</v>
      </c>
      <c r="E245" s="40">
        <v>12644</v>
      </c>
      <c r="F245" s="39" t="s">
        <v>847</v>
      </c>
      <c r="H245" s="39" t="s">
        <v>18</v>
      </c>
    </row>
    <row r="246" spans="1:8" x14ac:dyDescent="0.3">
      <c r="A246" s="39" t="s">
        <v>43</v>
      </c>
      <c r="B246" s="135">
        <v>26146922</v>
      </c>
      <c r="C246" s="41">
        <v>46148</v>
      </c>
      <c r="D246" s="39" t="s">
        <v>328</v>
      </c>
      <c r="E246" s="40">
        <v>16993</v>
      </c>
      <c r="F246" s="39" t="s">
        <v>848</v>
      </c>
      <c r="H246" s="39" t="s">
        <v>18</v>
      </c>
    </row>
    <row r="247" spans="1:8" x14ac:dyDescent="0.3">
      <c r="A247" s="39" t="s">
        <v>43</v>
      </c>
      <c r="B247" s="135">
        <v>26146923</v>
      </c>
      <c r="C247" s="41">
        <v>46148</v>
      </c>
      <c r="D247" s="39" t="s">
        <v>328</v>
      </c>
      <c r="E247" s="40">
        <v>28431</v>
      </c>
      <c r="F247" s="39" t="s">
        <v>848</v>
      </c>
      <c r="H247" s="39" t="s">
        <v>18</v>
      </c>
    </row>
    <row r="248" spans="1:8" x14ac:dyDescent="0.3">
      <c r="A248" s="39" t="s">
        <v>44</v>
      </c>
      <c r="B248" s="135">
        <v>26147597</v>
      </c>
      <c r="C248" s="41">
        <v>46148</v>
      </c>
      <c r="D248" s="39" t="s">
        <v>328</v>
      </c>
      <c r="E248" s="40">
        <v>18480</v>
      </c>
      <c r="F248" s="39" t="s">
        <v>849</v>
      </c>
      <c r="H248" s="39" t="s">
        <v>18</v>
      </c>
    </row>
    <row r="249" spans="1:8" x14ac:dyDescent="0.3">
      <c r="A249" s="39" t="s">
        <v>44</v>
      </c>
      <c r="B249" s="135" t="s">
        <v>850</v>
      </c>
      <c r="C249" s="41">
        <v>46148</v>
      </c>
      <c r="D249" s="39" t="s">
        <v>328</v>
      </c>
      <c r="E249" s="40">
        <v>27188</v>
      </c>
      <c r="F249" s="39" t="s">
        <v>849</v>
      </c>
      <c r="H249" s="39" t="s">
        <v>18</v>
      </c>
    </row>
    <row r="250" spans="1:8" x14ac:dyDescent="0.3">
      <c r="A250" s="39" t="s">
        <v>44</v>
      </c>
      <c r="B250" s="135" t="s">
        <v>851</v>
      </c>
      <c r="C250" s="41">
        <v>46149</v>
      </c>
      <c r="D250" s="39" t="s">
        <v>328</v>
      </c>
      <c r="E250" s="40">
        <v>6846</v>
      </c>
      <c r="F250" s="39" t="s">
        <v>852</v>
      </c>
      <c r="H250" s="39" t="s">
        <v>8</v>
      </c>
    </row>
    <row r="251" spans="1:8" x14ac:dyDescent="0.3">
      <c r="A251" s="39" t="s">
        <v>44</v>
      </c>
      <c r="B251" s="135">
        <v>140734</v>
      </c>
      <c r="C251" s="41">
        <v>46149</v>
      </c>
      <c r="D251" s="39" t="s">
        <v>328</v>
      </c>
      <c r="E251" s="40">
        <v>30042</v>
      </c>
      <c r="F251" s="39" t="s">
        <v>853</v>
      </c>
      <c r="H251" s="39" t="s">
        <v>8</v>
      </c>
    </row>
    <row r="252" spans="1:8" x14ac:dyDescent="0.3">
      <c r="A252" s="39" t="s">
        <v>44</v>
      </c>
      <c r="B252" s="140">
        <v>10032604251830</v>
      </c>
      <c r="C252" s="127">
        <v>46149</v>
      </c>
      <c r="D252" s="128" t="s">
        <v>328</v>
      </c>
      <c r="E252" s="126">
        <v>21444</v>
      </c>
      <c r="F252" s="128" t="s">
        <v>866</v>
      </c>
      <c r="G252" s="128" t="s">
        <v>867</v>
      </c>
      <c r="H252" s="128" t="s">
        <v>15</v>
      </c>
    </row>
    <row r="253" spans="1:8" x14ac:dyDescent="0.3">
      <c r="A253" s="39" t="s">
        <v>44</v>
      </c>
      <c r="B253" s="135">
        <v>26141675</v>
      </c>
      <c r="C253" s="41">
        <v>46149</v>
      </c>
      <c r="D253" s="39" t="s">
        <v>328</v>
      </c>
      <c r="E253" s="40">
        <v>25094</v>
      </c>
      <c r="F253" s="39" t="s">
        <v>868</v>
      </c>
      <c r="H253" s="39" t="s">
        <v>8</v>
      </c>
    </row>
    <row r="254" spans="1:8" x14ac:dyDescent="0.3">
      <c r="A254" s="39" t="s">
        <v>44</v>
      </c>
      <c r="B254" s="135" t="s">
        <v>869</v>
      </c>
      <c r="C254" s="41">
        <v>46149</v>
      </c>
      <c r="D254" s="39" t="s">
        <v>317</v>
      </c>
      <c r="E254" s="40">
        <v>14930</v>
      </c>
      <c r="F254" s="39" t="s">
        <v>870</v>
      </c>
      <c r="G254" s="39" t="s">
        <v>513</v>
      </c>
      <c r="H254" s="39" t="s">
        <v>11</v>
      </c>
    </row>
    <row r="255" spans="1:8" x14ac:dyDescent="0.3">
      <c r="A255" s="39" t="s">
        <v>44</v>
      </c>
      <c r="B255" s="135" t="s">
        <v>871</v>
      </c>
      <c r="C255" s="41">
        <v>46150</v>
      </c>
      <c r="D255" s="39" t="s">
        <v>328</v>
      </c>
      <c r="E255" s="40">
        <v>12894</v>
      </c>
      <c r="F255" s="39" t="s">
        <v>872</v>
      </c>
      <c r="H255" s="39" t="s">
        <v>18</v>
      </c>
    </row>
    <row r="256" spans="1:8" x14ac:dyDescent="0.3">
      <c r="A256" s="39" t="s">
        <v>44</v>
      </c>
      <c r="B256" s="135" t="s">
        <v>873</v>
      </c>
      <c r="C256" s="41">
        <v>46150</v>
      </c>
      <c r="D256" s="39" t="s">
        <v>224</v>
      </c>
      <c r="E256" s="40">
        <v>20851</v>
      </c>
      <c r="F256" s="39" t="s">
        <v>655</v>
      </c>
      <c r="H256" s="39" t="s">
        <v>18</v>
      </c>
    </row>
    <row r="257" spans="1:8" x14ac:dyDescent="0.3">
      <c r="A257" s="39" t="s">
        <v>44</v>
      </c>
      <c r="B257" s="135" t="s">
        <v>874</v>
      </c>
      <c r="C257" s="41">
        <v>46150</v>
      </c>
      <c r="D257" s="39" t="s">
        <v>317</v>
      </c>
      <c r="E257" s="40">
        <v>30624</v>
      </c>
      <c r="F257" s="39" t="s">
        <v>875</v>
      </c>
      <c r="H257" s="39" t="s">
        <v>18</v>
      </c>
    </row>
    <row r="258" spans="1:8" x14ac:dyDescent="0.3">
      <c r="A258" s="39" t="s">
        <v>44</v>
      </c>
      <c r="B258" s="135" t="s">
        <v>807</v>
      </c>
      <c r="C258" s="41">
        <v>46150</v>
      </c>
      <c r="D258" s="39" t="s">
        <v>317</v>
      </c>
      <c r="E258" s="40">
        <v>27184</v>
      </c>
      <c r="F258" s="39" t="s">
        <v>876</v>
      </c>
      <c r="H258" s="39" t="s">
        <v>18</v>
      </c>
    </row>
    <row r="259" spans="1:8" x14ac:dyDescent="0.3">
      <c r="A259" s="39" t="s">
        <v>44</v>
      </c>
      <c r="B259" s="135" t="s">
        <v>877</v>
      </c>
      <c r="C259" s="41">
        <v>46150</v>
      </c>
      <c r="D259" s="39" t="s">
        <v>328</v>
      </c>
      <c r="E259" s="40">
        <v>30436</v>
      </c>
      <c r="F259" s="39" t="s">
        <v>878</v>
      </c>
      <c r="H259" s="39" t="s">
        <v>18</v>
      </c>
    </row>
    <row r="260" spans="1:8" x14ac:dyDescent="0.3">
      <c r="A260" s="39" t="s">
        <v>44</v>
      </c>
      <c r="B260" s="135" t="s">
        <v>879</v>
      </c>
      <c r="C260" s="41">
        <v>46150</v>
      </c>
      <c r="D260" s="39" t="s">
        <v>328</v>
      </c>
      <c r="E260" s="40">
        <v>15624</v>
      </c>
      <c r="F260" s="39" t="s">
        <v>880</v>
      </c>
      <c r="H260" s="39" t="s">
        <v>18</v>
      </c>
    </row>
    <row r="261" spans="1:8" x14ac:dyDescent="0.3">
      <c r="A261" s="39" t="s">
        <v>357</v>
      </c>
      <c r="B261" s="135" t="s">
        <v>881</v>
      </c>
      <c r="C261" s="41">
        <v>46150</v>
      </c>
      <c r="D261" s="39" t="s">
        <v>326</v>
      </c>
      <c r="E261" s="40">
        <v>20450</v>
      </c>
      <c r="F261" s="39" t="s">
        <v>882</v>
      </c>
      <c r="H261" s="39" t="s">
        <v>18</v>
      </c>
    </row>
    <row r="262" spans="1:8" x14ac:dyDescent="0.3">
      <c r="A262" s="39" t="s">
        <v>357</v>
      </c>
      <c r="B262" s="135" t="s">
        <v>883</v>
      </c>
      <c r="C262" s="41">
        <v>46150</v>
      </c>
      <c r="D262" s="39" t="s">
        <v>328</v>
      </c>
      <c r="E262" s="40">
        <v>15077</v>
      </c>
      <c r="F262" s="39" t="s">
        <v>884</v>
      </c>
      <c r="H262" s="39" t="s">
        <v>18</v>
      </c>
    </row>
    <row r="263" spans="1:8" x14ac:dyDescent="0.3">
      <c r="A263" s="39" t="s">
        <v>44</v>
      </c>
      <c r="B263" s="135" t="s">
        <v>885</v>
      </c>
      <c r="C263" s="41">
        <v>46150</v>
      </c>
      <c r="D263" s="39" t="s">
        <v>326</v>
      </c>
      <c r="E263" s="40">
        <v>28631</v>
      </c>
      <c r="F263" s="39" t="s">
        <v>836</v>
      </c>
      <c r="H263" s="39" t="s">
        <v>18</v>
      </c>
    </row>
    <row r="264" spans="1:8" x14ac:dyDescent="0.3">
      <c r="A264" s="39" t="s">
        <v>357</v>
      </c>
      <c r="B264" s="135" t="s">
        <v>886</v>
      </c>
      <c r="C264" s="41">
        <v>46150</v>
      </c>
      <c r="D264" s="39" t="s">
        <v>328</v>
      </c>
      <c r="E264" s="40">
        <v>24562</v>
      </c>
      <c r="F264" s="39" t="s">
        <v>884</v>
      </c>
      <c r="H264" s="39" t="s">
        <v>18</v>
      </c>
    </row>
    <row r="265" spans="1:8" x14ac:dyDescent="0.3">
      <c r="A265" s="39" t="s">
        <v>357</v>
      </c>
      <c r="B265" s="135" t="s">
        <v>887</v>
      </c>
      <c r="C265" s="41">
        <v>46150</v>
      </c>
      <c r="D265" s="39" t="s">
        <v>326</v>
      </c>
      <c r="E265" s="40">
        <v>23418</v>
      </c>
      <c r="F265" s="39" t="s">
        <v>888</v>
      </c>
      <c r="H265" s="39" t="s">
        <v>18</v>
      </c>
    </row>
    <row r="266" spans="1:8" x14ac:dyDescent="0.3">
      <c r="A266" s="39" t="s">
        <v>44</v>
      </c>
      <c r="B266" s="135" t="s">
        <v>889</v>
      </c>
      <c r="C266" s="41">
        <v>46150</v>
      </c>
      <c r="D266" s="39" t="s">
        <v>328</v>
      </c>
      <c r="E266" s="40">
        <v>1738</v>
      </c>
      <c r="F266" s="39" t="s">
        <v>891</v>
      </c>
      <c r="G266" s="39" t="s">
        <v>890</v>
      </c>
      <c r="H266" s="39" t="s">
        <v>8</v>
      </c>
    </row>
    <row r="267" spans="1:8" x14ac:dyDescent="0.3">
      <c r="A267" s="39" t="s">
        <v>44</v>
      </c>
      <c r="B267" s="135" t="s">
        <v>892</v>
      </c>
      <c r="C267" s="41">
        <v>46150</v>
      </c>
      <c r="D267" s="39" t="s">
        <v>328</v>
      </c>
      <c r="E267" s="40">
        <v>28447</v>
      </c>
      <c r="F267" s="39" t="s">
        <v>893</v>
      </c>
      <c r="H267" s="39" t="s">
        <v>8</v>
      </c>
    </row>
    <row r="268" spans="1:8" x14ac:dyDescent="0.3">
      <c r="A268" s="39" t="s">
        <v>39</v>
      </c>
      <c r="B268" s="135" t="s">
        <v>894</v>
      </c>
      <c r="C268" s="41">
        <v>46150</v>
      </c>
      <c r="D268" s="39" t="s">
        <v>328</v>
      </c>
      <c r="E268" s="40">
        <v>16118</v>
      </c>
      <c r="F268" s="39" t="s">
        <v>895</v>
      </c>
      <c r="H268" s="39" t="s">
        <v>8</v>
      </c>
    </row>
    <row r="269" spans="1:8" x14ac:dyDescent="0.3">
      <c r="A269" s="39" t="s">
        <v>44</v>
      </c>
      <c r="B269" s="135" t="s">
        <v>896</v>
      </c>
      <c r="C269" s="41">
        <v>46150</v>
      </c>
      <c r="D269" s="39" t="s">
        <v>317</v>
      </c>
      <c r="E269" s="40">
        <v>27882</v>
      </c>
      <c r="F269" s="39" t="s">
        <v>897</v>
      </c>
      <c r="H269" s="39" t="s">
        <v>8</v>
      </c>
    </row>
    <row r="270" spans="1:8" x14ac:dyDescent="0.3">
      <c r="A270" s="39" t="s">
        <v>44</v>
      </c>
      <c r="B270" s="135" t="s">
        <v>898</v>
      </c>
      <c r="C270" s="41">
        <v>46150</v>
      </c>
      <c r="D270" s="39" t="s">
        <v>328</v>
      </c>
      <c r="E270" s="40">
        <v>12644</v>
      </c>
      <c r="F270" s="39" t="s">
        <v>847</v>
      </c>
      <c r="H270" s="39" t="s">
        <v>18</v>
      </c>
    </row>
    <row r="271" spans="1:8" x14ac:dyDescent="0.3">
      <c r="A271" s="39" t="s">
        <v>44</v>
      </c>
      <c r="B271" s="135" t="s">
        <v>899</v>
      </c>
      <c r="C271" s="41">
        <v>46150</v>
      </c>
      <c r="D271" s="39" t="s">
        <v>319</v>
      </c>
      <c r="E271" s="40">
        <v>26467</v>
      </c>
      <c r="F271" s="39" t="s">
        <v>900</v>
      </c>
      <c r="H271" s="39" t="s">
        <v>8</v>
      </c>
    </row>
    <row r="272" spans="1:8" x14ac:dyDescent="0.3">
      <c r="A272" s="39" t="s">
        <v>44</v>
      </c>
      <c r="B272" s="135" t="s">
        <v>901</v>
      </c>
      <c r="C272" s="41">
        <v>46150</v>
      </c>
      <c r="D272" s="39" t="s">
        <v>328</v>
      </c>
      <c r="E272" s="40">
        <v>30731</v>
      </c>
      <c r="F272" s="39" t="s">
        <v>902</v>
      </c>
      <c r="H272" s="39" t="s">
        <v>8</v>
      </c>
    </row>
    <row r="273" spans="1:8" x14ac:dyDescent="0.3">
      <c r="A273" s="39" t="s">
        <v>44</v>
      </c>
      <c r="B273" s="135" t="s">
        <v>903</v>
      </c>
      <c r="C273" s="41">
        <v>46150</v>
      </c>
      <c r="D273" s="39" t="s">
        <v>328</v>
      </c>
      <c r="E273" s="40">
        <v>20977</v>
      </c>
      <c r="F273" s="39" t="s">
        <v>904</v>
      </c>
      <c r="H273" s="39" t="s">
        <v>8</v>
      </c>
    </row>
    <row r="274" spans="1:8" x14ac:dyDescent="0.3">
      <c r="A274" s="39" t="s">
        <v>44</v>
      </c>
      <c r="B274" s="135">
        <v>161815</v>
      </c>
      <c r="C274" s="41">
        <v>46150</v>
      </c>
      <c r="D274" s="39" t="s">
        <v>328</v>
      </c>
      <c r="E274" s="40">
        <v>30678</v>
      </c>
      <c r="F274" s="39" t="s">
        <v>905</v>
      </c>
      <c r="G274" s="39" t="s">
        <v>1186</v>
      </c>
      <c r="H274" s="39" t="s">
        <v>8</v>
      </c>
    </row>
    <row r="275" spans="1:8" x14ac:dyDescent="0.3">
      <c r="A275" s="39" t="s">
        <v>44</v>
      </c>
      <c r="B275" s="135" t="s">
        <v>906</v>
      </c>
      <c r="C275" s="41">
        <v>46150</v>
      </c>
      <c r="D275" s="39" t="s">
        <v>339</v>
      </c>
      <c r="E275" s="40">
        <v>16405</v>
      </c>
      <c r="F275" s="39" t="s">
        <v>907</v>
      </c>
      <c r="H275" s="39" t="s">
        <v>8</v>
      </c>
    </row>
    <row r="276" spans="1:8" x14ac:dyDescent="0.3">
      <c r="A276" s="39" t="s">
        <v>44</v>
      </c>
      <c r="B276" s="135">
        <v>31341</v>
      </c>
      <c r="C276" s="41">
        <v>46153</v>
      </c>
      <c r="D276" s="39" t="s">
        <v>173</v>
      </c>
      <c r="E276" s="40">
        <v>31341</v>
      </c>
      <c r="F276" s="39" t="s">
        <v>914</v>
      </c>
      <c r="G276" s="39" t="s">
        <v>913</v>
      </c>
      <c r="H276" s="39" t="s">
        <v>307</v>
      </c>
    </row>
    <row r="277" spans="1:8" x14ac:dyDescent="0.3">
      <c r="A277" s="39" t="s">
        <v>44</v>
      </c>
      <c r="B277" s="135">
        <v>31349</v>
      </c>
      <c r="C277" s="41">
        <v>46153</v>
      </c>
      <c r="D277" s="39" t="s">
        <v>173</v>
      </c>
      <c r="E277" s="40">
        <v>31349</v>
      </c>
      <c r="F277" s="39" t="s">
        <v>916</v>
      </c>
      <c r="G277" s="39" t="s">
        <v>915</v>
      </c>
      <c r="H277" s="39" t="s">
        <v>307</v>
      </c>
    </row>
    <row r="278" spans="1:8" x14ac:dyDescent="0.3">
      <c r="A278" s="39" t="s">
        <v>44</v>
      </c>
      <c r="B278" s="135">
        <v>31350</v>
      </c>
      <c r="C278" s="41">
        <v>46153</v>
      </c>
      <c r="D278" s="39" t="s">
        <v>173</v>
      </c>
      <c r="E278" s="40">
        <v>31350</v>
      </c>
      <c r="F278" s="39" t="s">
        <v>917</v>
      </c>
      <c r="G278" s="39" t="s">
        <v>918</v>
      </c>
      <c r="H278" s="39" t="s">
        <v>307</v>
      </c>
    </row>
    <row r="279" spans="1:8" x14ac:dyDescent="0.3">
      <c r="A279" s="39" t="s">
        <v>44</v>
      </c>
      <c r="B279" s="135">
        <v>31351</v>
      </c>
      <c r="C279" s="41">
        <v>46153</v>
      </c>
      <c r="D279" s="39" t="s">
        <v>329</v>
      </c>
      <c r="E279" s="40">
        <v>31351</v>
      </c>
      <c r="F279" s="39" t="s">
        <v>919</v>
      </c>
      <c r="G279" s="39" t="s">
        <v>920</v>
      </c>
      <c r="H279" s="39" t="s">
        <v>307</v>
      </c>
    </row>
    <row r="280" spans="1:8" x14ac:dyDescent="0.3">
      <c r="A280" s="39" t="s">
        <v>44</v>
      </c>
      <c r="B280" s="135">
        <v>31342</v>
      </c>
      <c r="C280" s="41">
        <v>46153</v>
      </c>
      <c r="D280" s="39" t="s">
        <v>173</v>
      </c>
      <c r="E280" s="40">
        <v>31342</v>
      </c>
      <c r="F280" s="39" t="s">
        <v>922</v>
      </c>
      <c r="G280" s="39" t="s">
        <v>921</v>
      </c>
      <c r="H280" s="39" t="s">
        <v>307</v>
      </c>
    </row>
    <row r="281" spans="1:8" x14ac:dyDescent="0.3">
      <c r="A281" s="39" t="s">
        <v>44</v>
      </c>
      <c r="B281" s="135" t="s">
        <v>1053</v>
      </c>
      <c r="C281" s="41">
        <v>46153</v>
      </c>
      <c r="D281" s="39" t="s">
        <v>328</v>
      </c>
      <c r="E281" s="40" t="s">
        <v>1054</v>
      </c>
      <c r="F281" s="39" t="s">
        <v>924</v>
      </c>
      <c r="G281" s="39" t="s">
        <v>923</v>
      </c>
      <c r="H281" s="39" t="s">
        <v>30</v>
      </c>
    </row>
    <row r="282" spans="1:8" x14ac:dyDescent="0.3">
      <c r="A282" s="39" t="s">
        <v>44</v>
      </c>
      <c r="B282" s="135">
        <v>31343</v>
      </c>
      <c r="C282" s="41">
        <v>46153</v>
      </c>
      <c r="D282" s="39" t="s">
        <v>173</v>
      </c>
      <c r="E282" s="40">
        <v>31343</v>
      </c>
      <c r="F282" t="s">
        <v>926</v>
      </c>
      <c r="G282" s="39" t="s">
        <v>925</v>
      </c>
      <c r="H282" s="39" t="s">
        <v>307</v>
      </c>
    </row>
    <row r="283" spans="1:8" x14ac:dyDescent="0.3">
      <c r="A283" s="39" t="s">
        <v>44</v>
      </c>
      <c r="B283" s="135">
        <v>31352</v>
      </c>
      <c r="C283" s="41">
        <v>46153</v>
      </c>
      <c r="D283" s="39" t="s">
        <v>339</v>
      </c>
      <c r="E283" s="40">
        <v>31352</v>
      </c>
      <c r="F283" s="39" t="s">
        <v>1055</v>
      </c>
      <c r="G283" s="39" t="s">
        <v>927</v>
      </c>
      <c r="H283" s="39" t="s">
        <v>307</v>
      </c>
    </row>
    <row r="284" spans="1:8" x14ac:dyDescent="0.3">
      <c r="A284" s="39" t="s">
        <v>44</v>
      </c>
      <c r="C284" s="41">
        <v>46153</v>
      </c>
      <c r="D284" s="39" t="s">
        <v>328</v>
      </c>
      <c r="F284" s="39" t="s">
        <v>931</v>
      </c>
      <c r="G284" s="39" t="s">
        <v>930</v>
      </c>
      <c r="H284" s="39" t="s">
        <v>307</v>
      </c>
    </row>
    <row r="285" spans="1:8" x14ac:dyDescent="0.3">
      <c r="A285" s="39" t="s">
        <v>44</v>
      </c>
      <c r="B285" s="135">
        <v>31347</v>
      </c>
      <c r="C285" s="41">
        <v>46153</v>
      </c>
      <c r="D285" s="39" t="s">
        <v>316</v>
      </c>
      <c r="E285" s="40">
        <v>31347</v>
      </c>
      <c r="F285" s="39" t="s">
        <v>933</v>
      </c>
      <c r="G285" s="39" t="s">
        <v>932</v>
      </c>
      <c r="H285" s="39" t="s">
        <v>307</v>
      </c>
    </row>
    <row r="286" spans="1:8" x14ac:dyDescent="0.3">
      <c r="A286" s="39" t="s">
        <v>357</v>
      </c>
      <c r="B286" s="135" t="s">
        <v>935</v>
      </c>
      <c r="C286" s="41">
        <v>46153</v>
      </c>
      <c r="D286" s="39" t="s">
        <v>351</v>
      </c>
      <c r="E286" s="40">
        <v>28264</v>
      </c>
      <c r="F286" s="39" t="s">
        <v>934</v>
      </c>
      <c r="G286" s="39" t="s">
        <v>936</v>
      </c>
      <c r="H286" s="39" t="s">
        <v>28</v>
      </c>
    </row>
    <row r="287" spans="1:8" x14ac:dyDescent="0.3">
      <c r="A287" s="39" t="s">
        <v>357</v>
      </c>
      <c r="B287" s="135" t="s">
        <v>935</v>
      </c>
      <c r="C287" s="41">
        <v>46153</v>
      </c>
      <c r="D287" s="39" t="s">
        <v>351</v>
      </c>
      <c r="E287" s="40">
        <v>19570</v>
      </c>
      <c r="F287" s="39" t="s">
        <v>937</v>
      </c>
      <c r="G287" s="39" t="s">
        <v>938</v>
      </c>
      <c r="H287" s="39" t="s">
        <v>28</v>
      </c>
    </row>
    <row r="288" spans="1:8" x14ac:dyDescent="0.3">
      <c r="A288" s="39" t="s">
        <v>44</v>
      </c>
      <c r="B288" s="135" t="s">
        <v>1128</v>
      </c>
      <c r="C288" s="41">
        <v>46153</v>
      </c>
      <c r="D288" s="39" t="s">
        <v>351</v>
      </c>
      <c r="E288" s="40">
        <v>43457</v>
      </c>
      <c r="F288" s="39" t="s">
        <v>940</v>
      </c>
      <c r="G288" s="39" t="s">
        <v>939</v>
      </c>
      <c r="H288" s="39" t="s">
        <v>29</v>
      </c>
    </row>
    <row r="289" spans="1:8" x14ac:dyDescent="0.3">
      <c r="A289" s="39" t="s">
        <v>44</v>
      </c>
      <c r="B289" s="135" t="s">
        <v>1163</v>
      </c>
      <c r="C289" s="41">
        <v>46153</v>
      </c>
      <c r="D289" s="39" t="s">
        <v>351</v>
      </c>
      <c r="E289" s="40">
        <v>28193</v>
      </c>
      <c r="F289" s="39" t="s">
        <v>942</v>
      </c>
      <c r="G289" s="120" t="s">
        <v>941</v>
      </c>
      <c r="H289" s="39" t="s">
        <v>28</v>
      </c>
    </row>
    <row r="290" spans="1:8" x14ac:dyDescent="0.3">
      <c r="A290" s="39" t="s">
        <v>44</v>
      </c>
      <c r="B290" s="135" t="s">
        <v>1043</v>
      </c>
      <c r="C290" s="41">
        <v>46153</v>
      </c>
      <c r="D290" s="39" t="s">
        <v>351</v>
      </c>
      <c r="E290" s="40">
        <v>42223</v>
      </c>
      <c r="F290" s="39" t="s">
        <v>944</v>
      </c>
      <c r="G290" s="120" t="s">
        <v>943</v>
      </c>
      <c r="H290" s="39" t="s">
        <v>22</v>
      </c>
    </row>
    <row r="291" spans="1:8" x14ac:dyDescent="0.3">
      <c r="A291" s="39" t="s">
        <v>44</v>
      </c>
      <c r="B291" s="135">
        <v>16099</v>
      </c>
      <c r="C291" s="41">
        <v>46153</v>
      </c>
      <c r="D291" s="39" t="s">
        <v>351</v>
      </c>
      <c r="E291" s="40">
        <v>16099</v>
      </c>
      <c r="F291" s="39" t="s">
        <v>945</v>
      </c>
      <c r="G291" s="39" t="s">
        <v>946</v>
      </c>
      <c r="H291" s="39" t="s">
        <v>28</v>
      </c>
    </row>
    <row r="292" spans="1:8" x14ac:dyDescent="0.3">
      <c r="A292" s="39" t="s">
        <v>44</v>
      </c>
      <c r="B292" s="135">
        <v>158319</v>
      </c>
      <c r="C292" s="41">
        <v>46153</v>
      </c>
      <c r="D292" s="39" t="s">
        <v>351</v>
      </c>
      <c r="E292" s="40">
        <v>40591</v>
      </c>
      <c r="F292" s="39" t="s">
        <v>947</v>
      </c>
      <c r="G292" s="39" t="s">
        <v>948</v>
      </c>
      <c r="H292" s="39" t="s">
        <v>28</v>
      </c>
    </row>
    <row r="293" spans="1:8" x14ac:dyDescent="0.3">
      <c r="A293" s="39" t="s">
        <v>44</v>
      </c>
      <c r="B293" s="135" t="s">
        <v>1372</v>
      </c>
      <c r="C293" s="41">
        <v>46153</v>
      </c>
      <c r="D293" s="39" t="s">
        <v>351</v>
      </c>
      <c r="E293" s="40">
        <v>34095</v>
      </c>
      <c r="F293" s="39" t="s">
        <v>949</v>
      </c>
      <c r="G293" s="39" t="s">
        <v>950</v>
      </c>
      <c r="H293" s="39" t="s">
        <v>28</v>
      </c>
    </row>
    <row r="294" spans="1:8" x14ac:dyDescent="0.3">
      <c r="A294" s="39" t="s">
        <v>44</v>
      </c>
      <c r="B294" s="135">
        <v>154834</v>
      </c>
      <c r="C294" s="41">
        <v>46153</v>
      </c>
      <c r="D294" s="39" t="s">
        <v>351</v>
      </c>
      <c r="E294" s="40">
        <v>18621</v>
      </c>
      <c r="F294" s="39" t="s">
        <v>951</v>
      </c>
      <c r="G294" s="39" t="s">
        <v>953</v>
      </c>
      <c r="H294" s="39" t="s">
        <v>28</v>
      </c>
    </row>
    <row r="295" spans="1:8" x14ac:dyDescent="0.3">
      <c r="A295" s="39" t="s">
        <v>44</v>
      </c>
      <c r="B295" s="135" t="s">
        <v>1044</v>
      </c>
      <c r="C295" s="41">
        <v>46154</v>
      </c>
      <c r="D295" s="39" t="s">
        <v>351</v>
      </c>
      <c r="E295" s="40">
        <v>28415</v>
      </c>
      <c r="F295" s="39" t="s">
        <v>952</v>
      </c>
      <c r="G295" s="39" t="s">
        <v>954</v>
      </c>
      <c r="H295" s="39" t="s">
        <v>28</v>
      </c>
    </row>
    <row r="296" spans="1:8" x14ac:dyDescent="0.3">
      <c r="A296" s="39" t="s">
        <v>357</v>
      </c>
      <c r="B296" s="135" t="s">
        <v>935</v>
      </c>
      <c r="C296" s="41">
        <v>46154</v>
      </c>
      <c r="D296" s="39" t="s">
        <v>351</v>
      </c>
      <c r="E296" s="40">
        <v>25032</v>
      </c>
      <c r="F296" s="39" t="s">
        <v>955</v>
      </c>
      <c r="G296" s="39" t="s">
        <v>956</v>
      </c>
      <c r="H296" s="39" t="s">
        <v>28</v>
      </c>
    </row>
    <row r="297" spans="1:8" x14ac:dyDescent="0.3">
      <c r="A297" s="39" t="s">
        <v>44</v>
      </c>
      <c r="B297" s="135" t="s">
        <v>961</v>
      </c>
      <c r="C297" s="41">
        <v>46154</v>
      </c>
      <c r="D297" s="39" t="s">
        <v>351</v>
      </c>
      <c r="E297" s="40">
        <v>34224</v>
      </c>
      <c r="F297" s="39" t="s">
        <v>958</v>
      </c>
      <c r="G297" s="39" t="s">
        <v>957</v>
      </c>
      <c r="H297" s="39" t="s">
        <v>28</v>
      </c>
    </row>
    <row r="298" spans="1:8" x14ac:dyDescent="0.3">
      <c r="A298" s="39" t="s">
        <v>44</v>
      </c>
      <c r="B298" s="135">
        <v>155231</v>
      </c>
      <c r="C298" s="41">
        <v>46154</v>
      </c>
      <c r="D298" s="39" t="s">
        <v>351</v>
      </c>
      <c r="E298" s="40">
        <v>32221</v>
      </c>
      <c r="F298" s="39" t="s">
        <v>960</v>
      </c>
      <c r="G298" s="39" t="s">
        <v>959</v>
      </c>
      <c r="H298" s="39" t="s">
        <v>28</v>
      </c>
    </row>
    <row r="299" spans="1:8" x14ac:dyDescent="0.3">
      <c r="A299" s="39" t="s">
        <v>44</v>
      </c>
      <c r="B299" s="135" t="s">
        <v>962</v>
      </c>
      <c r="C299" s="41">
        <v>46154</v>
      </c>
      <c r="D299" s="39" t="s">
        <v>351</v>
      </c>
      <c r="E299" s="40" t="s">
        <v>963</v>
      </c>
      <c r="F299" s="39" t="s">
        <v>964</v>
      </c>
      <c r="G299" s="120" t="s">
        <v>965</v>
      </c>
      <c r="H299" s="39" t="s">
        <v>31</v>
      </c>
    </row>
    <row r="300" spans="1:8" x14ac:dyDescent="0.3">
      <c r="A300" s="39" t="s">
        <v>44</v>
      </c>
      <c r="B300" s="135" t="s">
        <v>1052</v>
      </c>
      <c r="C300" s="41">
        <v>46154</v>
      </c>
      <c r="D300" s="39" t="s">
        <v>351</v>
      </c>
      <c r="E300" s="40">
        <v>14659</v>
      </c>
      <c r="F300" s="39" t="s">
        <v>967</v>
      </c>
      <c r="G300" s="39" t="s">
        <v>966</v>
      </c>
      <c r="H300" s="39" t="s">
        <v>28</v>
      </c>
    </row>
    <row r="301" spans="1:8" x14ac:dyDescent="0.3">
      <c r="A301" s="39" t="s">
        <v>44</v>
      </c>
      <c r="B301" s="135">
        <v>163484</v>
      </c>
      <c r="C301" s="41">
        <v>46154</v>
      </c>
      <c r="D301" s="39" t="s">
        <v>351</v>
      </c>
      <c r="E301" s="40">
        <v>38149</v>
      </c>
      <c r="F301" s="39" t="s">
        <v>968</v>
      </c>
      <c r="G301" s="39" t="s">
        <v>1051</v>
      </c>
      <c r="H301" s="39" t="s">
        <v>28</v>
      </c>
    </row>
    <row r="302" spans="1:8" x14ac:dyDescent="0.3">
      <c r="A302" s="39" t="s">
        <v>44</v>
      </c>
      <c r="B302" s="135">
        <v>158185</v>
      </c>
      <c r="C302" s="41">
        <v>46154</v>
      </c>
      <c r="D302" s="39" t="s">
        <v>351</v>
      </c>
      <c r="E302" s="40">
        <v>19890</v>
      </c>
      <c r="F302" s="39" t="s">
        <v>970</v>
      </c>
      <c r="G302" s="39" t="s">
        <v>969</v>
      </c>
      <c r="H302" s="39" t="s">
        <v>28</v>
      </c>
    </row>
    <row r="303" spans="1:8" x14ac:dyDescent="0.3">
      <c r="A303" s="39" t="s">
        <v>44</v>
      </c>
      <c r="B303" s="135">
        <v>31373</v>
      </c>
      <c r="C303" s="41">
        <v>46154</v>
      </c>
      <c r="D303" s="39" t="s">
        <v>312</v>
      </c>
      <c r="E303" s="40">
        <v>31373</v>
      </c>
      <c r="F303" s="39" t="s">
        <v>971</v>
      </c>
      <c r="G303" s="120" t="s">
        <v>984</v>
      </c>
      <c r="H303" s="39" t="s">
        <v>307</v>
      </c>
    </row>
    <row r="304" spans="1:8" x14ac:dyDescent="0.3">
      <c r="A304" s="39" t="s">
        <v>44</v>
      </c>
      <c r="B304" s="135">
        <v>31353</v>
      </c>
      <c r="C304" s="41">
        <v>46154</v>
      </c>
      <c r="D304" s="39" t="s">
        <v>328</v>
      </c>
      <c r="E304" s="40">
        <v>31353</v>
      </c>
      <c r="F304" s="39" t="s">
        <v>973</v>
      </c>
      <c r="G304" s="39" t="s">
        <v>972</v>
      </c>
      <c r="H304" s="39" t="s">
        <v>307</v>
      </c>
    </row>
    <row r="305" spans="1:8" x14ac:dyDescent="0.3">
      <c r="A305" s="39" t="s">
        <v>44</v>
      </c>
      <c r="B305" s="135">
        <v>31354</v>
      </c>
      <c r="C305" s="41">
        <v>46154</v>
      </c>
      <c r="D305" s="39" t="s">
        <v>330</v>
      </c>
      <c r="E305" s="40">
        <v>31354</v>
      </c>
      <c r="F305" s="39" t="s">
        <v>975</v>
      </c>
      <c r="G305" s="39" t="s">
        <v>974</v>
      </c>
      <c r="H305" s="39" t="s">
        <v>307</v>
      </c>
    </row>
    <row r="306" spans="1:8" x14ac:dyDescent="0.3">
      <c r="A306" s="39" t="s">
        <v>44</v>
      </c>
      <c r="B306" s="135">
        <v>31355</v>
      </c>
      <c r="C306" s="41">
        <v>46154</v>
      </c>
      <c r="D306" s="39" t="s">
        <v>319</v>
      </c>
      <c r="E306" s="40">
        <v>31355</v>
      </c>
      <c r="F306" s="39" t="s">
        <v>977</v>
      </c>
      <c r="G306" s="39" t="s">
        <v>976</v>
      </c>
      <c r="H306" s="39" t="s">
        <v>307</v>
      </c>
    </row>
    <row r="307" spans="1:8" x14ac:dyDescent="0.3">
      <c r="A307" s="39" t="s">
        <v>44</v>
      </c>
      <c r="B307" s="135">
        <v>31356</v>
      </c>
      <c r="C307" s="41">
        <v>46154</v>
      </c>
      <c r="D307" s="39" t="s">
        <v>224</v>
      </c>
      <c r="E307" s="40">
        <v>31356</v>
      </c>
      <c r="F307" s="39" t="s">
        <v>979</v>
      </c>
      <c r="G307" s="39" t="s">
        <v>978</v>
      </c>
      <c r="H307" s="39" t="s">
        <v>307</v>
      </c>
    </row>
    <row r="308" spans="1:8" x14ac:dyDescent="0.3">
      <c r="A308" s="39" t="s">
        <v>44</v>
      </c>
      <c r="B308" s="135">
        <v>31370</v>
      </c>
      <c r="C308" s="41">
        <v>46154</v>
      </c>
      <c r="D308" s="39" t="s">
        <v>328</v>
      </c>
      <c r="E308" s="40">
        <v>31370</v>
      </c>
      <c r="F308" s="39" t="s">
        <v>981</v>
      </c>
      <c r="G308" s="39" t="s">
        <v>980</v>
      </c>
      <c r="H308" s="39" t="s">
        <v>307</v>
      </c>
    </row>
    <row r="309" spans="1:8" x14ac:dyDescent="0.3">
      <c r="A309" s="39" t="s">
        <v>44</v>
      </c>
      <c r="B309" s="135">
        <v>31371</v>
      </c>
      <c r="C309" s="41">
        <v>46154</v>
      </c>
      <c r="D309" s="39" t="s">
        <v>317</v>
      </c>
      <c r="E309" s="40">
        <v>31371</v>
      </c>
      <c r="F309" s="39" t="s">
        <v>983</v>
      </c>
      <c r="G309" s="39" t="s">
        <v>982</v>
      </c>
      <c r="H309" s="39" t="s">
        <v>307</v>
      </c>
    </row>
    <row r="310" spans="1:8" x14ac:dyDescent="0.3">
      <c r="A310" s="39" t="s">
        <v>44</v>
      </c>
      <c r="B310" s="135" t="s">
        <v>985</v>
      </c>
      <c r="C310" s="41">
        <v>46154</v>
      </c>
      <c r="D310" s="39" t="s">
        <v>328</v>
      </c>
      <c r="F310" s="39" t="s">
        <v>986</v>
      </c>
      <c r="G310" s="39" t="s">
        <v>987</v>
      </c>
      <c r="H310" s="39" t="s">
        <v>8</v>
      </c>
    </row>
    <row r="311" spans="1:8" x14ac:dyDescent="0.3">
      <c r="A311" s="39" t="s">
        <v>44</v>
      </c>
      <c r="B311" s="135" t="s">
        <v>988</v>
      </c>
      <c r="C311" s="41">
        <v>46154</v>
      </c>
      <c r="D311" s="39" t="s">
        <v>185</v>
      </c>
      <c r="E311" s="40">
        <v>17730</v>
      </c>
      <c r="F311" s="39" t="s">
        <v>989</v>
      </c>
      <c r="G311" s="39" t="s">
        <v>990</v>
      </c>
      <c r="H311" s="39" t="s">
        <v>8</v>
      </c>
    </row>
    <row r="312" spans="1:8" x14ac:dyDescent="0.3">
      <c r="A312" s="39" t="s">
        <v>44</v>
      </c>
      <c r="B312" s="135">
        <v>155960</v>
      </c>
      <c r="C312" s="41">
        <v>46154</v>
      </c>
      <c r="D312" s="39" t="s">
        <v>310</v>
      </c>
      <c r="E312" s="40">
        <v>20315</v>
      </c>
      <c r="F312" s="39" t="s">
        <v>992</v>
      </c>
      <c r="G312" s="39" t="s">
        <v>991</v>
      </c>
      <c r="H312" s="39" t="s">
        <v>8</v>
      </c>
    </row>
    <row r="313" spans="1:8" x14ac:dyDescent="0.3">
      <c r="A313" s="39" t="s">
        <v>44</v>
      </c>
      <c r="B313" s="135">
        <v>156025</v>
      </c>
      <c r="C313" s="41">
        <v>46154</v>
      </c>
      <c r="D313" s="39" t="s">
        <v>326</v>
      </c>
      <c r="E313" s="40">
        <v>15759</v>
      </c>
      <c r="F313" s="39" t="s">
        <v>993</v>
      </c>
      <c r="G313" s="39" t="s">
        <v>994</v>
      </c>
      <c r="H313" s="39" t="s">
        <v>8</v>
      </c>
    </row>
    <row r="314" spans="1:8" x14ac:dyDescent="0.3">
      <c r="A314" s="39" t="s">
        <v>357</v>
      </c>
      <c r="B314" s="135" t="s">
        <v>998</v>
      </c>
      <c r="C314" s="41">
        <v>46154</v>
      </c>
      <c r="D314" s="39" t="s">
        <v>326</v>
      </c>
      <c r="F314" s="39" t="s">
        <v>997</v>
      </c>
      <c r="G314" s="39" t="s">
        <v>996</v>
      </c>
      <c r="H314" s="39" t="s">
        <v>307</v>
      </c>
    </row>
    <row r="315" spans="1:8" x14ac:dyDescent="0.3">
      <c r="A315" s="39" t="s">
        <v>44</v>
      </c>
      <c r="B315" s="135">
        <v>156080</v>
      </c>
      <c r="C315" s="41">
        <v>46154</v>
      </c>
      <c r="D315" s="39" t="s">
        <v>326</v>
      </c>
      <c r="E315" s="40">
        <v>17293</v>
      </c>
      <c r="F315" s="39" t="s">
        <v>999</v>
      </c>
      <c r="G315" s="39" t="s">
        <v>1000</v>
      </c>
      <c r="H315" s="39" t="s">
        <v>8</v>
      </c>
    </row>
    <row r="316" spans="1:8" x14ac:dyDescent="0.3">
      <c r="A316" s="39" t="s">
        <v>44</v>
      </c>
      <c r="B316" s="135">
        <v>28415</v>
      </c>
      <c r="C316" s="41">
        <v>46154</v>
      </c>
      <c r="D316" s="39" t="s">
        <v>351</v>
      </c>
      <c r="E316" s="40">
        <v>28415</v>
      </c>
      <c r="F316" s="39" t="s">
        <v>952</v>
      </c>
      <c r="G316" s="39" t="s">
        <v>954</v>
      </c>
      <c r="H316" s="39" t="s">
        <v>28</v>
      </c>
    </row>
    <row r="317" spans="1:8" x14ac:dyDescent="0.3">
      <c r="A317" s="39" t="s">
        <v>44</v>
      </c>
      <c r="B317" s="135" t="s">
        <v>1001</v>
      </c>
      <c r="C317" s="41">
        <v>46155</v>
      </c>
      <c r="D317" s="39" t="s">
        <v>328</v>
      </c>
      <c r="E317" s="40">
        <v>29725</v>
      </c>
      <c r="F317" s="39" t="s">
        <v>1002</v>
      </c>
      <c r="H317" s="39" t="s">
        <v>8</v>
      </c>
    </row>
    <row r="318" spans="1:8" x14ac:dyDescent="0.3">
      <c r="A318" s="39" t="s">
        <v>43</v>
      </c>
      <c r="B318" s="135" t="s">
        <v>1003</v>
      </c>
      <c r="C318" s="41">
        <v>46155</v>
      </c>
      <c r="D318" s="39" t="s">
        <v>317</v>
      </c>
      <c r="E318" s="40">
        <v>28170</v>
      </c>
      <c r="F318" s="39" t="s">
        <v>1004</v>
      </c>
      <c r="H318" s="39" t="s">
        <v>8</v>
      </c>
    </row>
    <row r="319" spans="1:8" x14ac:dyDescent="0.3">
      <c r="A319" s="39" t="s">
        <v>43</v>
      </c>
      <c r="B319" s="135" t="s">
        <v>1005</v>
      </c>
      <c r="C319" s="41">
        <v>46155</v>
      </c>
      <c r="D319" s="39" t="s">
        <v>319</v>
      </c>
      <c r="E319" s="40">
        <v>27635</v>
      </c>
      <c r="F319" s="39" t="s">
        <v>1006</v>
      </c>
      <c r="H319" s="39" t="s">
        <v>8</v>
      </c>
    </row>
    <row r="320" spans="1:8" x14ac:dyDescent="0.3">
      <c r="A320" s="39" t="s">
        <v>357</v>
      </c>
      <c r="B320" s="135" t="s">
        <v>1007</v>
      </c>
      <c r="C320" s="41">
        <v>46155</v>
      </c>
      <c r="D320" s="39" t="s">
        <v>328</v>
      </c>
      <c r="E320" s="40">
        <v>27526</v>
      </c>
      <c r="F320" s="39" t="s">
        <v>405</v>
      </c>
      <c r="H320" s="39" t="s">
        <v>15</v>
      </c>
    </row>
    <row r="321" spans="1:8" x14ac:dyDescent="0.3">
      <c r="A321" s="39" t="s">
        <v>44</v>
      </c>
      <c r="B321" s="135" t="s">
        <v>1008</v>
      </c>
      <c r="C321" s="41">
        <v>46155</v>
      </c>
      <c r="D321" s="39" t="s">
        <v>328</v>
      </c>
      <c r="E321" s="40">
        <v>22565</v>
      </c>
      <c r="F321" s="39" t="s">
        <v>1009</v>
      </c>
      <c r="H321" s="39" t="s">
        <v>8</v>
      </c>
    </row>
    <row r="322" spans="1:8" x14ac:dyDescent="0.3">
      <c r="A322" s="39" t="s">
        <v>44</v>
      </c>
      <c r="B322" s="135" t="s">
        <v>1010</v>
      </c>
      <c r="C322" s="41">
        <v>46155</v>
      </c>
      <c r="D322" s="39" t="s">
        <v>328</v>
      </c>
      <c r="E322" s="40">
        <v>14149</v>
      </c>
      <c r="F322" s="39" t="s">
        <v>1011</v>
      </c>
      <c r="H322" s="39" t="s">
        <v>18</v>
      </c>
    </row>
    <row r="323" spans="1:8" x14ac:dyDescent="0.3">
      <c r="A323" s="39" t="s">
        <v>44</v>
      </c>
      <c r="B323" s="135">
        <v>156698</v>
      </c>
      <c r="C323" s="41">
        <v>46155</v>
      </c>
      <c r="D323" s="39" t="s">
        <v>326</v>
      </c>
      <c r="E323" s="40">
        <v>28936</v>
      </c>
      <c r="F323" s="39" t="s">
        <v>1012</v>
      </c>
      <c r="G323" s="39" t="s">
        <v>994</v>
      </c>
      <c r="H323" s="39" t="s">
        <v>8</v>
      </c>
    </row>
    <row r="324" spans="1:8" x14ac:dyDescent="0.3">
      <c r="A324" s="39" t="s">
        <v>44</v>
      </c>
      <c r="B324" s="135" t="s">
        <v>1013</v>
      </c>
      <c r="C324" s="41">
        <v>46155</v>
      </c>
      <c r="D324" s="39" t="s">
        <v>328</v>
      </c>
      <c r="E324" s="40">
        <v>28086</v>
      </c>
      <c r="F324" s="39" t="s">
        <v>1014</v>
      </c>
      <c r="H324" s="39" t="s">
        <v>18</v>
      </c>
    </row>
    <row r="325" spans="1:8" x14ac:dyDescent="0.3">
      <c r="A325" s="39" t="s">
        <v>44</v>
      </c>
      <c r="B325" s="135" t="s">
        <v>1015</v>
      </c>
      <c r="C325" s="41">
        <v>46155</v>
      </c>
      <c r="D325" s="39" t="s">
        <v>330</v>
      </c>
      <c r="E325" s="40">
        <v>29507</v>
      </c>
      <c r="F325" s="39" t="s">
        <v>1016</v>
      </c>
      <c r="H325" s="39" t="s">
        <v>18</v>
      </c>
    </row>
    <row r="326" spans="1:8" x14ac:dyDescent="0.3">
      <c r="A326" s="39" t="s">
        <v>44</v>
      </c>
      <c r="B326" s="135" t="s">
        <v>1017</v>
      </c>
      <c r="C326" s="41">
        <v>46155</v>
      </c>
      <c r="D326" s="39" t="s">
        <v>326</v>
      </c>
      <c r="E326" s="40">
        <v>22218</v>
      </c>
      <c r="F326" s="39" t="s">
        <v>551</v>
      </c>
      <c r="H326" s="39" t="s">
        <v>18</v>
      </c>
    </row>
    <row r="327" spans="1:8" x14ac:dyDescent="0.3">
      <c r="A327" s="39" t="s">
        <v>357</v>
      </c>
      <c r="B327" s="141" t="s">
        <v>1018</v>
      </c>
      <c r="C327" s="131">
        <v>46155</v>
      </c>
      <c r="D327" s="132" t="s">
        <v>328</v>
      </c>
      <c r="E327" s="130">
        <v>17959</v>
      </c>
      <c r="F327" s="132" t="s">
        <v>1019</v>
      </c>
      <c r="G327" s="132" t="s">
        <v>1200</v>
      </c>
      <c r="H327" s="132" t="s">
        <v>8</v>
      </c>
    </row>
    <row r="328" spans="1:8" x14ac:dyDescent="0.3">
      <c r="A328" s="39" t="s">
        <v>44</v>
      </c>
      <c r="B328" s="135" t="s">
        <v>1020</v>
      </c>
      <c r="C328" s="41">
        <v>46155</v>
      </c>
      <c r="D328" s="39" t="s">
        <v>331</v>
      </c>
      <c r="E328" s="40">
        <v>16019</v>
      </c>
      <c r="F328" s="39" t="s">
        <v>1021</v>
      </c>
      <c r="H328" s="39" t="s">
        <v>8</v>
      </c>
    </row>
    <row r="329" spans="1:8" x14ac:dyDescent="0.3">
      <c r="A329" s="39" t="s">
        <v>44</v>
      </c>
      <c r="B329" s="135" t="s">
        <v>1022</v>
      </c>
      <c r="C329" s="41">
        <v>46155</v>
      </c>
      <c r="D329" s="39" t="s">
        <v>328</v>
      </c>
      <c r="E329" s="40">
        <v>14821</v>
      </c>
      <c r="F329" s="39" t="s">
        <v>1023</v>
      </c>
      <c r="H329" s="39" t="s">
        <v>8</v>
      </c>
    </row>
    <row r="330" spans="1:8" x14ac:dyDescent="0.3">
      <c r="A330" s="39" t="s">
        <v>43</v>
      </c>
      <c r="B330" s="135" t="s">
        <v>1024</v>
      </c>
      <c r="C330" s="41">
        <v>46155</v>
      </c>
      <c r="D330" s="39" t="s">
        <v>328</v>
      </c>
      <c r="E330" s="40">
        <v>20232</v>
      </c>
      <c r="F330" s="39" t="s">
        <v>1025</v>
      </c>
      <c r="H330" s="39" t="s">
        <v>12</v>
      </c>
    </row>
    <row r="331" spans="1:8" x14ac:dyDescent="0.3">
      <c r="A331" s="39" t="s">
        <v>44</v>
      </c>
      <c r="B331" s="135" t="s">
        <v>1026</v>
      </c>
      <c r="C331" s="41">
        <v>46155</v>
      </c>
      <c r="D331" s="39" t="s">
        <v>328</v>
      </c>
      <c r="E331" s="40">
        <v>20232</v>
      </c>
      <c r="F331" s="39" t="s">
        <v>1025</v>
      </c>
      <c r="H331" s="39" t="s">
        <v>8</v>
      </c>
    </row>
    <row r="332" spans="1:8" x14ac:dyDescent="0.3">
      <c r="A332" s="39" t="s">
        <v>44</v>
      </c>
      <c r="B332" s="135">
        <v>31345</v>
      </c>
      <c r="C332" s="41">
        <v>46155</v>
      </c>
      <c r="D332" s="39" t="s">
        <v>328</v>
      </c>
      <c r="E332" s="40">
        <v>31345</v>
      </c>
      <c r="F332" s="39" t="s">
        <v>1028</v>
      </c>
      <c r="G332" s="39" t="s">
        <v>1027</v>
      </c>
      <c r="H332" s="39" t="s">
        <v>307</v>
      </c>
    </row>
    <row r="333" spans="1:8" x14ac:dyDescent="0.3">
      <c r="A333" s="39" t="s">
        <v>42</v>
      </c>
      <c r="C333" s="41">
        <v>46155</v>
      </c>
      <c r="D333" s="39" t="s">
        <v>173</v>
      </c>
      <c r="F333" s="39" t="s">
        <v>1029</v>
      </c>
      <c r="G333" s="39" t="s">
        <v>1030</v>
      </c>
      <c r="H333" s="39" t="s">
        <v>307</v>
      </c>
    </row>
    <row r="334" spans="1:8" x14ac:dyDescent="0.3">
      <c r="A334" s="39" t="s">
        <v>44</v>
      </c>
      <c r="B334" s="135">
        <v>31346</v>
      </c>
      <c r="C334" s="41">
        <v>46155</v>
      </c>
      <c r="D334" s="39" t="s">
        <v>328</v>
      </c>
      <c r="E334" s="40">
        <v>31346</v>
      </c>
      <c r="F334" t="s">
        <v>1032</v>
      </c>
      <c r="G334" s="39" t="s">
        <v>1031</v>
      </c>
      <c r="H334" s="39" t="s">
        <v>307</v>
      </c>
    </row>
    <row r="335" spans="1:8" x14ac:dyDescent="0.3">
      <c r="A335" s="39" t="s">
        <v>44</v>
      </c>
      <c r="B335" s="135" t="s">
        <v>1033</v>
      </c>
      <c r="C335" s="41">
        <v>46155</v>
      </c>
      <c r="D335" s="39" t="s">
        <v>351</v>
      </c>
      <c r="E335" s="40">
        <v>31572</v>
      </c>
      <c r="F335" s="39" t="s">
        <v>1034</v>
      </c>
      <c r="G335" s="39" t="s">
        <v>1037</v>
      </c>
      <c r="H335" s="39" t="s">
        <v>9</v>
      </c>
    </row>
    <row r="336" spans="1:8" x14ac:dyDescent="0.3">
      <c r="A336" s="39" t="s">
        <v>44</v>
      </c>
      <c r="B336" s="135">
        <v>157110</v>
      </c>
      <c r="C336" s="41">
        <v>46155</v>
      </c>
      <c r="D336" s="39" t="s">
        <v>324</v>
      </c>
      <c r="E336" s="40">
        <v>27711</v>
      </c>
      <c r="F336" s="39" t="s">
        <v>1035</v>
      </c>
      <c r="G336" s="39" t="s">
        <v>1036</v>
      </c>
      <c r="H336" s="39" t="s">
        <v>9</v>
      </c>
    </row>
    <row r="337" spans="1:8" x14ac:dyDescent="0.3">
      <c r="A337" s="39" t="s">
        <v>44</v>
      </c>
      <c r="B337" s="135" t="s">
        <v>1038</v>
      </c>
      <c r="C337" s="41">
        <v>46155</v>
      </c>
      <c r="D337" s="39" t="s">
        <v>328</v>
      </c>
      <c r="E337" s="40">
        <v>17338</v>
      </c>
      <c r="F337" s="39" t="s">
        <v>891</v>
      </c>
      <c r="G337" s="39" t="s">
        <v>1039</v>
      </c>
      <c r="H337" s="39" t="s">
        <v>9</v>
      </c>
    </row>
    <row r="338" spans="1:8" x14ac:dyDescent="0.3">
      <c r="A338" s="39" t="s">
        <v>44</v>
      </c>
      <c r="B338" s="135" t="s">
        <v>1040</v>
      </c>
      <c r="C338" s="41">
        <v>46155</v>
      </c>
      <c r="D338" s="39" t="s">
        <v>351</v>
      </c>
      <c r="E338" s="40" t="s">
        <v>1041</v>
      </c>
      <c r="F338" s="39" t="s">
        <v>1042</v>
      </c>
      <c r="H338" s="39" t="s">
        <v>28</v>
      </c>
    </row>
    <row r="339" spans="1:8" x14ac:dyDescent="0.3">
      <c r="A339" s="39" t="s">
        <v>44</v>
      </c>
      <c r="B339" s="135">
        <v>31347</v>
      </c>
      <c r="C339" s="41">
        <v>46155</v>
      </c>
      <c r="D339" s="39" t="s">
        <v>316</v>
      </c>
      <c r="E339" s="40">
        <v>31347</v>
      </c>
      <c r="F339" s="39" t="s">
        <v>933</v>
      </c>
      <c r="H339" s="39" t="s">
        <v>307</v>
      </c>
    </row>
    <row r="340" spans="1:8" x14ac:dyDescent="0.3">
      <c r="A340" s="39" t="s">
        <v>44</v>
      </c>
      <c r="B340" s="135" t="s">
        <v>1118</v>
      </c>
      <c r="C340" s="41">
        <v>46155</v>
      </c>
      <c r="D340" s="39" t="s">
        <v>351</v>
      </c>
      <c r="E340" s="40">
        <v>38752</v>
      </c>
      <c r="F340" s="39" t="s">
        <v>1048</v>
      </c>
      <c r="G340" s="39" t="s">
        <v>1047</v>
      </c>
      <c r="H340" s="39" t="s">
        <v>28</v>
      </c>
    </row>
    <row r="341" spans="1:8" x14ac:dyDescent="0.3">
      <c r="A341" s="39" t="s">
        <v>44</v>
      </c>
      <c r="B341" s="135" t="s">
        <v>1045</v>
      </c>
      <c r="C341" s="41">
        <v>46156</v>
      </c>
      <c r="D341" s="39" t="s">
        <v>328</v>
      </c>
      <c r="E341" s="40">
        <v>30252</v>
      </c>
      <c r="F341" s="39" t="s">
        <v>1046</v>
      </c>
      <c r="H341" s="39" t="s">
        <v>8</v>
      </c>
    </row>
    <row r="342" spans="1:8" x14ac:dyDescent="0.3">
      <c r="A342" s="39" t="s">
        <v>44</v>
      </c>
      <c r="B342" s="135" t="s">
        <v>1049</v>
      </c>
      <c r="C342" s="41">
        <v>46156</v>
      </c>
      <c r="D342" s="39" t="s">
        <v>326</v>
      </c>
      <c r="E342" s="40">
        <v>20450</v>
      </c>
      <c r="F342" s="39" t="s">
        <v>882</v>
      </c>
      <c r="G342" s="39" t="s">
        <v>1050</v>
      </c>
      <c r="H342" s="39" t="s">
        <v>8</v>
      </c>
    </row>
    <row r="343" spans="1:8" x14ac:dyDescent="0.3">
      <c r="A343" s="39" t="s">
        <v>44</v>
      </c>
      <c r="B343" s="135" t="s">
        <v>1056</v>
      </c>
      <c r="C343" s="41">
        <v>46157</v>
      </c>
      <c r="D343" s="39" t="s">
        <v>328</v>
      </c>
      <c r="E343" s="40">
        <v>12045</v>
      </c>
      <c r="F343" s="39" t="s">
        <v>1057</v>
      </c>
      <c r="H343" s="39" t="s">
        <v>15</v>
      </c>
    </row>
    <row r="344" spans="1:8" x14ac:dyDescent="0.3">
      <c r="A344" s="39" t="s">
        <v>44</v>
      </c>
      <c r="B344" s="135" t="s">
        <v>1058</v>
      </c>
      <c r="C344" s="41">
        <v>46157</v>
      </c>
      <c r="D344" s="39" t="s">
        <v>328</v>
      </c>
      <c r="E344" s="40">
        <v>27732</v>
      </c>
      <c r="F344" s="39" t="s">
        <v>1059</v>
      </c>
      <c r="H344" s="39" t="s">
        <v>8</v>
      </c>
    </row>
    <row r="345" spans="1:8" x14ac:dyDescent="0.3">
      <c r="A345" s="39" t="s">
        <v>44</v>
      </c>
      <c r="B345" s="135" t="s">
        <v>1060</v>
      </c>
      <c r="C345" s="41">
        <v>46157</v>
      </c>
      <c r="D345" s="39" t="s">
        <v>328</v>
      </c>
      <c r="E345" s="40">
        <v>23700</v>
      </c>
      <c r="F345" s="39" t="s">
        <v>1061</v>
      </c>
      <c r="H345" s="39" t="s">
        <v>15</v>
      </c>
    </row>
    <row r="346" spans="1:8" x14ac:dyDescent="0.3">
      <c r="A346" s="39" t="s">
        <v>44</v>
      </c>
      <c r="B346" s="135" t="s">
        <v>1062</v>
      </c>
      <c r="C346" s="41">
        <v>46157</v>
      </c>
      <c r="D346" s="39" t="s">
        <v>328</v>
      </c>
      <c r="E346" s="40">
        <v>23869</v>
      </c>
      <c r="F346" s="39" t="s">
        <v>1063</v>
      </c>
      <c r="G346" s="39" t="s">
        <v>1069</v>
      </c>
      <c r="H346" s="39" t="s">
        <v>15</v>
      </c>
    </row>
    <row r="347" spans="1:8" x14ac:dyDescent="0.3">
      <c r="A347" s="39" t="s">
        <v>44</v>
      </c>
      <c r="B347" s="135" t="s">
        <v>1064</v>
      </c>
      <c r="C347" s="41">
        <v>46157</v>
      </c>
      <c r="D347" s="39" t="s">
        <v>326</v>
      </c>
      <c r="E347" s="40">
        <v>2149</v>
      </c>
      <c r="F347" s="39" t="s">
        <v>1065</v>
      </c>
      <c r="G347" s="39" t="s">
        <v>1066</v>
      </c>
      <c r="H347" s="39" t="s">
        <v>18</v>
      </c>
    </row>
    <row r="348" spans="1:8" x14ac:dyDescent="0.3">
      <c r="A348" s="39" t="s">
        <v>38</v>
      </c>
      <c r="B348" s="135" t="s">
        <v>1067</v>
      </c>
      <c r="C348" s="41">
        <v>46157</v>
      </c>
      <c r="D348" s="39" t="s">
        <v>328</v>
      </c>
      <c r="E348" s="40">
        <v>12609</v>
      </c>
      <c r="F348" s="39" t="s">
        <v>1068</v>
      </c>
      <c r="H348" s="39" t="s">
        <v>18</v>
      </c>
    </row>
    <row r="349" spans="1:8" x14ac:dyDescent="0.3">
      <c r="A349" s="39" t="s">
        <v>44</v>
      </c>
      <c r="B349" s="135">
        <v>31357</v>
      </c>
      <c r="C349" s="41">
        <v>46157</v>
      </c>
      <c r="D349" s="39" t="s">
        <v>319</v>
      </c>
      <c r="E349" s="40">
        <v>31357</v>
      </c>
      <c r="F349" s="39" t="s">
        <v>1071</v>
      </c>
      <c r="G349" s="39" t="s">
        <v>1070</v>
      </c>
      <c r="H349" s="39" t="s">
        <v>307</v>
      </c>
    </row>
    <row r="350" spans="1:8" x14ac:dyDescent="0.3">
      <c r="A350" s="39" t="s">
        <v>44</v>
      </c>
      <c r="B350" s="135">
        <v>158759</v>
      </c>
      <c r="C350" s="41">
        <v>46157</v>
      </c>
      <c r="D350" s="39" t="s">
        <v>328</v>
      </c>
      <c r="E350" s="40">
        <v>22890</v>
      </c>
      <c r="F350" s="39" t="s">
        <v>1072</v>
      </c>
      <c r="H350" s="39" t="s">
        <v>9</v>
      </c>
    </row>
    <row r="351" spans="1:8" x14ac:dyDescent="0.3">
      <c r="A351" s="39" t="s">
        <v>44</v>
      </c>
      <c r="B351" s="135" t="s">
        <v>1073</v>
      </c>
      <c r="C351" s="41">
        <v>46157</v>
      </c>
      <c r="D351" s="39" t="s">
        <v>328</v>
      </c>
      <c r="E351" s="40" t="s">
        <v>1074</v>
      </c>
      <c r="F351" s="39" t="s">
        <v>1075</v>
      </c>
      <c r="G351" s="39" t="s">
        <v>1076</v>
      </c>
      <c r="H351" s="39" t="s">
        <v>8</v>
      </c>
    </row>
    <row r="352" spans="1:8" x14ac:dyDescent="0.3">
      <c r="A352" s="39" t="s">
        <v>44</v>
      </c>
      <c r="B352" s="135">
        <v>31358</v>
      </c>
      <c r="C352" s="41">
        <v>46157</v>
      </c>
      <c r="D352" s="39" t="s">
        <v>328</v>
      </c>
      <c r="E352" s="40">
        <v>31358</v>
      </c>
      <c r="F352" s="39" t="s">
        <v>1078</v>
      </c>
      <c r="G352" s="39" t="s">
        <v>1077</v>
      </c>
      <c r="H352" s="39" t="s">
        <v>307</v>
      </c>
    </row>
    <row r="353" spans="1:8" x14ac:dyDescent="0.3">
      <c r="A353" s="39" t="s">
        <v>44</v>
      </c>
      <c r="B353" s="135">
        <v>31378</v>
      </c>
      <c r="C353" s="41">
        <v>46157</v>
      </c>
      <c r="D353" s="39" t="s">
        <v>328</v>
      </c>
      <c r="E353" s="40">
        <v>31378</v>
      </c>
      <c r="F353" s="39" t="s">
        <v>1080</v>
      </c>
      <c r="G353" s="39" t="s">
        <v>1079</v>
      </c>
      <c r="H353" s="39" t="s">
        <v>307</v>
      </c>
    </row>
    <row r="354" spans="1:8" x14ac:dyDescent="0.3">
      <c r="A354" s="39" t="s">
        <v>44</v>
      </c>
      <c r="B354" s="135">
        <v>31359</v>
      </c>
      <c r="C354" s="41">
        <v>46157</v>
      </c>
      <c r="D354" s="39" t="s">
        <v>220</v>
      </c>
      <c r="E354" s="40">
        <v>31359</v>
      </c>
      <c r="F354" s="39" t="s">
        <v>1082</v>
      </c>
      <c r="G354" s="39" t="s">
        <v>1083</v>
      </c>
      <c r="H354" s="39" t="s">
        <v>307</v>
      </c>
    </row>
    <row r="355" spans="1:8" x14ac:dyDescent="0.3">
      <c r="A355" s="39" t="s">
        <v>44</v>
      </c>
      <c r="B355" s="135" t="s">
        <v>1081</v>
      </c>
      <c r="C355" s="41">
        <v>46157</v>
      </c>
      <c r="D355" s="39" t="s">
        <v>339</v>
      </c>
      <c r="E355" s="40">
        <v>21032</v>
      </c>
      <c r="F355" s="39" t="s">
        <v>1082</v>
      </c>
      <c r="G355" s="39" t="s">
        <v>1083</v>
      </c>
      <c r="H355" s="39" t="s">
        <v>8</v>
      </c>
    </row>
    <row r="356" spans="1:8" x14ac:dyDescent="0.3">
      <c r="A356" s="39" t="s">
        <v>44</v>
      </c>
      <c r="B356" s="135" t="s">
        <v>1311</v>
      </c>
      <c r="C356" s="41">
        <v>46157</v>
      </c>
      <c r="D356" s="39" t="s">
        <v>173</v>
      </c>
      <c r="F356" s="39" t="s">
        <v>1312</v>
      </c>
      <c r="G356" s="39" t="s">
        <v>1085</v>
      </c>
      <c r="H356" s="39" t="s">
        <v>307</v>
      </c>
    </row>
    <row r="357" spans="1:8" x14ac:dyDescent="0.3">
      <c r="A357" s="39" t="s">
        <v>44</v>
      </c>
      <c r="B357" s="135">
        <v>31382</v>
      </c>
      <c r="C357" s="41">
        <v>46157</v>
      </c>
      <c r="D357" s="39" t="s">
        <v>173</v>
      </c>
      <c r="E357" s="40">
        <v>31382</v>
      </c>
      <c r="F357" s="39" t="s">
        <v>1086</v>
      </c>
      <c r="G357" s="39" t="s">
        <v>1084</v>
      </c>
      <c r="H357" s="39" t="s">
        <v>307</v>
      </c>
    </row>
    <row r="358" spans="1:8" x14ac:dyDescent="0.3">
      <c r="A358" s="39" t="s">
        <v>357</v>
      </c>
      <c r="B358" s="135" t="s">
        <v>1336</v>
      </c>
      <c r="C358" s="41">
        <v>46157</v>
      </c>
      <c r="D358" s="39" t="s">
        <v>337</v>
      </c>
      <c r="F358" s="39" t="s">
        <v>1088</v>
      </c>
      <c r="G358" s="39" t="s">
        <v>1087</v>
      </c>
      <c r="H358" s="39" t="s">
        <v>8</v>
      </c>
    </row>
    <row r="359" spans="1:8" x14ac:dyDescent="0.3">
      <c r="A359" s="39" t="s">
        <v>357</v>
      </c>
      <c r="B359" s="140" t="s">
        <v>1133</v>
      </c>
      <c r="C359" s="41">
        <v>46160</v>
      </c>
      <c r="D359" s="128" t="s">
        <v>328</v>
      </c>
      <c r="E359" s="126"/>
      <c r="F359" s="129" t="s">
        <v>1132</v>
      </c>
      <c r="G359" s="120" t="s">
        <v>1089</v>
      </c>
      <c r="H359" s="39" t="s">
        <v>8</v>
      </c>
    </row>
    <row r="360" spans="1:8" x14ac:dyDescent="0.3">
      <c r="A360" s="39" t="s">
        <v>357</v>
      </c>
      <c r="B360" s="140"/>
      <c r="C360" s="41">
        <v>46157</v>
      </c>
      <c r="D360" s="128"/>
      <c r="E360" s="126"/>
      <c r="F360" s="129" t="s">
        <v>1090</v>
      </c>
      <c r="G360" s="120" t="s">
        <v>1089</v>
      </c>
      <c r="H360" s="39" t="s">
        <v>8</v>
      </c>
    </row>
    <row r="361" spans="1:8" x14ac:dyDescent="0.3">
      <c r="A361" s="39" t="s">
        <v>44</v>
      </c>
      <c r="B361" s="135">
        <v>31360</v>
      </c>
      <c r="C361" s="41">
        <v>46157</v>
      </c>
      <c r="D361" s="39" t="s">
        <v>224</v>
      </c>
      <c r="E361" s="40">
        <v>31360</v>
      </c>
      <c r="F361" s="39" t="s">
        <v>1091</v>
      </c>
      <c r="G361" s="39" t="s">
        <v>1093</v>
      </c>
      <c r="H361" s="39" t="s">
        <v>307</v>
      </c>
    </row>
    <row r="362" spans="1:8" x14ac:dyDescent="0.3">
      <c r="A362" s="39" t="s">
        <v>357</v>
      </c>
      <c r="B362" s="135" t="s">
        <v>1336</v>
      </c>
      <c r="C362" s="41">
        <v>46157</v>
      </c>
      <c r="D362" s="39" t="s">
        <v>328</v>
      </c>
      <c r="F362" s="39" t="s">
        <v>1094</v>
      </c>
      <c r="G362" s="39" t="s">
        <v>1092</v>
      </c>
      <c r="H362" s="39" t="s">
        <v>307</v>
      </c>
    </row>
    <row r="363" spans="1:8" x14ac:dyDescent="0.3">
      <c r="A363" s="39" t="s">
        <v>44</v>
      </c>
      <c r="B363" s="135">
        <v>162020</v>
      </c>
      <c r="C363" s="41">
        <v>46157</v>
      </c>
      <c r="D363" s="39" t="s">
        <v>328</v>
      </c>
      <c r="F363" s="39" t="s">
        <v>1096</v>
      </c>
      <c r="G363" s="39" t="s">
        <v>1095</v>
      </c>
      <c r="H363" s="39" t="s">
        <v>8</v>
      </c>
    </row>
    <row r="364" spans="1:8" x14ac:dyDescent="0.3">
      <c r="A364" s="39" t="s">
        <v>44</v>
      </c>
      <c r="B364" s="135">
        <v>31377</v>
      </c>
      <c r="C364" s="41">
        <v>46157</v>
      </c>
      <c r="D364" s="39" t="s">
        <v>328</v>
      </c>
      <c r="E364" s="40">
        <v>31377</v>
      </c>
      <c r="F364" s="39" t="s">
        <v>1098</v>
      </c>
      <c r="G364" s="39" t="s">
        <v>1097</v>
      </c>
      <c r="H364" s="39" t="s">
        <v>307</v>
      </c>
    </row>
    <row r="365" spans="1:8" x14ac:dyDescent="0.3">
      <c r="A365" s="39" t="s">
        <v>44</v>
      </c>
      <c r="B365" s="135">
        <v>31361</v>
      </c>
      <c r="C365" s="41">
        <v>46157</v>
      </c>
      <c r="D365" s="39" t="s">
        <v>328</v>
      </c>
      <c r="E365" s="40">
        <v>31361</v>
      </c>
      <c r="F365" s="39" t="s">
        <v>1100</v>
      </c>
      <c r="G365" s="39" t="s">
        <v>1099</v>
      </c>
      <c r="H365" s="39" t="s">
        <v>307</v>
      </c>
    </row>
    <row r="366" spans="1:8" x14ac:dyDescent="0.3">
      <c r="A366" s="39" t="s">
        <v>44</v>
      </c>
      <c r="B366" s="135">
        <v>31362</v>
      </c>
      <c r="C366" s="41">
        <v>46158</v>
      </c>
      <c r="D366" s="39" t="s">
        <v>318</v>
      </c>
      <c r="E366" s="40">
        <v>31362</v>
      </c>
      <c r="F366" s="39" t="s">
        <v>1101</v>
      </c>
      <c r="G366" s="39" t="s">
        <v>1102</v>
      </c>
      <c r="H366" s="39" t="s">
        <v>307</v>
      </c>
    </row>
    <row r="367" spans="1:8" x14ac:dyDescent="0.3">
      <c r="A367" s="39" t="s">
        <v>44</v>
      </c>
      <c r="B367" s="135">
        <v>31363</v>
      </c>
      <c r="C367" s="41">
        <v>46158</v>
      </c>
      <c r="D367" s="39" t="s">
        <v>221</v>
      </c>
      <c r="E367" s="40">
        <v>31363</v>
      </c>
      <c r="F367" s="39" t="s">
        <v>1103</v>
      </c>
      <c r="G367" s="39" t="s">
        <v>1104</v>
      </c>
      <c r="H367" s="39" t="s">
        <v>307</v>
      </c>
    </row>
    <row r="368" spans="1:8" x14ac:dyDescent="0.3">
      <c r="A368" s="39" t="s">
        <v>44</v>
      </c>
      <c r="B368" s="135">
        <v>31364</v>
      </c>
      <c r="C368" s="41">
        <v>46158</v>
      </c>
      <c r="D368" s="39" t="s">
        <v>173</v>
      </c>
      <c r="E368" s="40">
        <v>31364</v>
      </c>
      <c r="F368" s="39" t="s">
        <v>1105</v>
      </c>
      <c r="G368" s="120" t="s">
        <v>1106</v>
      </c>
      <c r="H368" s="39" t="s">
        <v>307</v>
      </c>
    </row>
    <row r="369" spans="1:8" x14ac:dyDescent="0.3">
      <c r="A369" s="39" t="s">
        <v>357</v>
      </c>
      <c r="B369" s="135" t="s">
        <v>1346</v>
      </c>
      <c r="C369" s="41">
        <v>46158</v>
      </c>
      <c r="D369" s="39" t="s">
        <v>173</v>
      </c>
      <c r="F369" s="39" t="s">
        <v>1108</v>
      </c>
      <c r="G369" s="39" t="s">
        <v>1107</v>
      </c>
      <c r="H369" s="39" t="s">
        <v>307</v>
      </c>
    </row>
    <row r="370" spans="1:8" x14ac:dyDescent="0.3">
      <c r="A370" s="39" t="s">
        <v>44</v>
      </c>
      <c r="B370" s="135">
        <v>31383</v>
      </c>
      <c r="C370" s="41">
        <v>46158</v>
      </c>
      <c r="D370" s="39" t="s">
        <v>318</v>
      </c>
      <c r="E370" s="40">
        <v>31383</v>
      </c>
      <c r="F370" s="39" t="s">
        <v>1109</v>
      </c>
      <c r="G370" s="39" t="s">
        <v>1110</v>
      </c>
      <c r="H370" s="39" t="s">
        <v>307</v>
      </c>
    </row>
    <row r="371" spans="1:8" x14ac:dyDescent="0.3">
      <c r="A371" s="39" t="s">
        <v>44</v>
      </c>
      <c r="B371" s="135">
        <v>31384</v>
      </c>
      <c r="C371" s="41">
        <v>46158</v>
      </c>
      <c r="D371" s="39" t="s">
        <v>318</v>
      </c>
      <c r="E371" s="40">
        <v>31384</v>
      </c>
      <c r="F371" s="39" t="s">
        <v>1109</v>
      </c>
      <c r="G371" s="39" t="s">
        <v>1110</v>
      </c>
      <c r="H371" s="39" t="s">
        <v>307</v>
      </c>
    </row>
    <row r="372" spans="1:8" x14ac:dyDescent="0.3">
      <c r="A372" s="39" t="s">
        <v>44</v>
      </c>
      <c r="B372" s="135">
        <v>31385</v>
      </c>
      <c r="C372" s="41">
        <v>46158</v>
      </c>
      <c r="D372" s="39" t="s">
        <v>318</v>
      </c>
      <c r="E372" s="40">
        <v>31385</v>
      </c>
      <c r="F372" s="39" t="s">
        <v>1109</v>
      </c>
      <c r="G372" s="39" t="s">
        <v>1110</v>
      </c>
      <c r="H372" s="39" t="s">
        <v>307</v>
      </c>
    </row>
    <row r="373" spans="1:8" x14ac:dyDescent="0.3">
      <c r="A373" s="39" t="s">
        <v>44</v>
      </c>
      <c r="B373" s="135" t="s">
        <v>1113</v>
      </c>
      <c r="C373" s="41">
        <v>46158</v>
      </c>
      <c r="D373" s="39" t="s">
        <v>339</v>
      </c>
      <c r="E373" s="40">
        <v>22627</v>
      </c>
      <c r="F373" s="39" t="s">
        <v>1112</v>
      </c>
      <c r="G373" s="120" t="s">
        <v>1111</v>
      </c>
      <c r="H373" s="39" t="s">
        <v>8</v>
      </c>
    </row>
    <row r="374" spans="1:8" x14ac:dyDescent="0.3">
      <c r="A374" s="39" t="s">
        <v>44</v>
      </c>
      <c r="B374" s="135">
        <v>31365</v>
      </c>
      <c r="C374" s="41">
        <v>46158</v>
      </c>
      <c r="D374" s="39" t="s">
        <v>328</v>
      </c>
      <c r="E374" s="40">
        <v>31365</v>
      </c>
      <c r="F374" s="39" t="s">
        <v>1114</v>
      </c>
      <c r="G374" s="39" t="s">
        <v>1115</v>
      </c>
      <c r="H374" s="39" t="s">
        <v>307</v>
      </c>
    </row>
    <row r="375" spans="1:8" x14ac:dyDescent="0.3">
      <c r="A375" s="39" t="s">
        <v>44</v>
      </c>
      <c r="B375" s="135">
        <v>31366</v>
      </c>
      <c r="C375" s="41">
        <v>46158</v>
      </c>
      <c r="D375" s="39" t="s">
        <v>328</v>
      </c>
      <c r="E375" s="40">
        <v>31366</v>
      </c>
      <c r="F375" s="39" t="s">
        <v>1116</v>
      </c>
      <c r="G375" s="39" t="s">
        <v>1115</v>
      </c>
      <c r="H375" s="39" t="s">
        <v>307</v>
      </c>
    </row>
    <row r="376" spans="1:8" x14ac:dyDescent="0.3">
      <c r="A376" s="39" t="s">
        <v>44</v>
      </c>
      <c r="B376" s="135">
        <v>31367</v>
      </c>
      <c r="C376" s="41">
        <v>46158</v>
      </c>
      <c r="D376" s="39" t="s">
        <v>328</v>
      </c>
      <c r="E376" s="40">
        <v>31367</v>
      </c>
      <c r="F376" s="39" t="s">
        <v>1117</v>
      </c>
      <c r="G376" s="39" t="s">
        <v>1115</v>
      </c>
      <c r="H376" s="39" t="s">
        <v>307</v>
      </c>
    </row>
    <row r="377" spans="1:8" x14ac:dyDescent="0.3">
      <c r="A377" s="39" t="s">
        <v>44</v>
      </c>
      <c r="B377" s="135">
        <v>31368</v>
      </c>
      <c r="C377" s="41">
        <v>46158</v>
      </c>
      <c r="D377" s="39" t="s">
        <v>328</v>
      </c>
      <c r="E377" s="40">
        <v>31368</v>
      </c>
      <c r="F377" s="39" t="s">
        <v>1114</v>
      </c>
      <c r="G377" s="39" t="s">
        <v>1115</v>
      </c>
      <c r="H377" s="39" t="s">
        <v>307</v>
      </c>
    </row>
    <row r="378" spans="1:8" x14ac:dyDescent="0.3">
      <c r="A378" s="39" t="s">
        <v>44</v>
      </c>
      <c r="B378" s="135" t="s">
        <v>1121</v>
      </c>
      <c r="C378" s="41">
        <v>46160</v>
      </c>
      <c r="D378" s="39" t="s">
        <v>351</v>
      </c>
      <c r="E378" s="40">
        <v>25265</v>
      </c>
      <c r="F378" s="39" t="s">
        <v>1119</v>
      </c>
      <c r="G378" s="39" t="s">
        <v>1120</v>
      </c>
      <c r="H378" s="39" t="s">
        <v>28</v>
      </c>
    </row>
    <row r="379" spans="1:8" x14ac:dyDescent="0.3">
      <c r="A379" s="39" t="s">
        <v>44</v>
      </c>
      <c r="B379" s="135">
        <v>31369</v>
      </c>
      <c r="C379" s="41">
        <v>46160</v>
      </c>
      <c r="D379" s="39" t="s">
        <v>221</v>
      </c>
      <c r="E379" s="40">
        <v>31369</v>
      </c>
      <c r="F379" s="39" t="s">
        <v>1122</v>
      </c>
      <c r="G379" s="39" t="s">
        <v>1123</v>
      </c>
      <c r="H379" s="39" t="s">
        <v>307</v>
      </c>
    </row>
    <row r="380" spans="1:8" x14ac:dyDescent="0.3">
      <c r="A380" s="39" t="s">
        <v>357</v>
      </c>
      <c r="B380" s="135" t="s">
        <v>1126</v>
      </c>
      <c r="C380" s="41">
        <v>46160</v>
      </c>
      <c r="D380" s="39" t="s">
        <v>313</v>
      </c>
      <c r="F380" s="39" t="s">
        <v>1125</v>
      </c>
      <c r="G380" s="39" t="s">
        <v>1124</v>
      </c>
      <c r="H380" s="39" t="s">
        <v>307</v>
      </c>
    </row>
    <row r="381" spans="1:8" x14ac:dyDescent="0.3">
      <c r="A381" s="39" t="s">
        <v>44</v>
      </c>
      <c r="B381" s="135">
        <v>31370</v>
      </c>
      <c r="C381" s="41">
        <v>46160</v>
      </c>
      <c r="D381" s="39" t="s">
        <v>328</v>
      </c>
      <c r="E381" s="40">
        <v>31370</v>
      </c>
      <c r="F381" s="39" t="s">
        <v>1127</v>
      </c>
      <c r="G381" s="120" t="s">
        <v>980</v>
      </c>
      <c r="H381" s="39" t="s">
        <v>307</v>
      </c>
    </row>
    <row r="382" spans="1:8" x14ac:dyDescent="0.3">
      <c r="A382" s="39" t="s">
        <v>357</v>
      </c>
      <c r="B382" s="135" t="s">
        <v>1131</v>
      </c>
      <c r="C382" s="41">
        <v>46160</v>
      </c>
      <c r="D382" s="39" t="s">
        <v>328</v>
      </c>
      <c r="F382" s="39" t="s">
        <v>1130</v>
      </c>
      <c r="G382" s="39" t="s">
        <v>1129</v>
      </c>
      <c r="H382" s="39" t="s">
        <v>307</v>
      </c>
    </row>
    <row r="383" spans="1:8" x14ac:dyDescent="0.3">
      <c r="A383" s="39" t="s">
        <v>357</v>
      </c>
      <c r="B383" s="135">
        <v>31322</v>
      </c>
      <c r="C383" s="41">
        <v>46160</v>
      </c>
      <c r="D383" s="39" t="s">
        <v>328</v>
      </c>
      <c r="E383" s="40">
        <v>31322</v>
      </c>
      <c r="F383" s="39" t="s">
        <v>1134</v>
      </c>
      <c r="G383" s="120" t="s">
        <v>1326</v>
      </c>
      <c r="H383" s="39" t="s">
        <v>8</v>
      </c>
    </row>
    <row r="384" spans="1:8" x14ac:dyDescent="0.3">
      <c r="A384" s="39" t="s">
        <v>44</v>
      </c>
      <c r="B384" s="135" t="s">
        <v>1135</v>
      </c>
      <c r="C384" s="41">
        <v>46161</v>
      </c>
      <c r="D384" s="39" t="s">
        <v>328</v>
      </c>
      <c r="E384" s="40">
        <v>18044</v>
      </c>
      <c r="F384" s="39" t="s">
        <v>1136</v>
      </c>
      <c r="G384" s="39" t="s">
        <v>1137</v>
      </c>
      <c r="H384" s="39" t="s">
        <v>8</v>
      </c>
    </row>
    <row r="385" spans="1:8" x14ac:dyDescent="0.3">
      <c r="A385" s="39" t="s">
        <v>44</v>
      </c>
      <c r="B385" s="135">
        <v>31393</v>
      </c>
      <c r="C385" s="41">
        <v>46161</v>
      </c>
      <c r="D385" s="39" t="s">
        <v>328</v>
      </c>
      <c r="E385" s="40">
        <v>31393</v>
      </c>
      <c r="F385" s="39" t="s">
        <v>430</v>
      </c>
      <c r="G385" s="39" t="s">
        <v>1138</v>
      </c>
      <c r="H385" s="39" t="s">
        <v>307</v>
      </c>
    </row>
    <row r="386" spans="1:8" x14ac:dyDescent="0.3">
      <c r="A386" s="39" t="s">
        <v>44</v>
      </c>
      <c r="B386" s="135" t="s">
        <v>1139</v>
      </c>
      <c r="C386" s="41">
        <v>46161</v>
      </c>
      <c r="D386" s="39" t="s">
        <v>339</v>
      </c>
      <c r="E386" s="40">
        <v>21129</v>
      </c>
      <c r="F386" s="39" t="s">
        <v>1140</v>
      </c>
      <c r="G386" s="39" t="s">
        <v>1141</v>
      </c>
      <c r="H386" s="39" t="s">
        <v>8</v>
      </c>
    </row>
    <row r="387" spans="1:8" x14ac:dyDescent="0.3">
      <c r="A387" s="39" t="s">
        <v>44</v>
      </c>
      <c r="B387" s="135" t="s">
        <v>1336</v>
      </c>
      <c r="C387" s="41">
        <v>46161</v>
      </c>
      <c r="D387" s="39" t="s">
        <v>185</v>
      </c>
      <c r="F387" s="39" t="s">
        <v>1143</v>
      </c>
      <c r="G387" s="39" t="s">
        <v>1142</v>
      </c>
      <c r="H387" s="39" t="s">
        <v>307</v>
      </c>
    </row>
    <row r="388" spans="1:8" x14ac:dyDescent="0.3">
      <c r="A388" s="39" t="s">
        <v>44</v>
      </c>
      <c r="C388" s="41">
        <v>46161</v>
      </c>
      <c r="D388" s="39" t="s">
        <v>173</v>
      </c>
      <c r="E388" s="40">
        <v>31372</v>
      </c>
      <c r="F388" s="39" t="s">
        <v>1144</v>
      </c>
      <c r="G388" s="39" t="s">
        <v>1145</v>
      </c>
      <c r="H388" s="39" t="s">
        <v>307</v>
      </c>
    </row>
    <row r="389" spans="1:8" x14ac:dyDescent="0.3">
      <c r="A389" s="39" t="s">
        <v>44</v>
      </c>
      <c r="B389" s="135">
        <v>160895</v>
      </c>
      <c r="C389" s="41">
        <v>46161</v>
      </c>
      <c r="D389" s="39" t="s">
        <v>326</v>
      </c>
      <c r="E389" s="40">
        <v>18600</v>
      </c>
      <c r="F389" s="39" t="s">
        <v>1149</v>
      </c>
      <c r="G389" s="39" t="s">
        <v>1150</v>
      </c>
      <c r="H389" s="39" t="s">
        <v>8</v>
      </c>
    </row>
    <row r="390" spans="1:8" x14ac:dyDescent="0.3">
      <c r="A390" s="39" t="s">
        <v>44</v>
      </c>
      <c r="B390" s="135" t="s">
        <v>1151</v>
      </c>
      <c r="C390" s="41">
        <v>46161</v>
      </c>
      <c r="D390" s="39" t="s">
        <v>351</v>
      </c>
      <c r="E390" s="40">
        <v>16758</v>
      </c>
      <c r="F390" s="39" t="s">
        <v>1152</v>
      </c>
      <c r="G390" s="120" t="s">
        <v>1153</v>
      </c>
      <c r="H390" s="39" t="s">
        <v>12</v>
      </c>
    </row>
    <row r="391" spans="1:8" x14ac:dyDescent="0.3">
      <c r="A391" s="39" t="s">
        <v>44</v>
      </c>
      <c r="B391" s="135" t="s">
        <v>1154</v>
      </c>
      <c r="C391" s="41">
        <v>46161</v>
      </c>
      <c r="D391" s="39" t="s">
        <v>326</v>
      </c>
      <c r="E391" s="40">
        <v>2149</v>
      </c>
      <c r="F391" s="39" t="s">
        <v>1065</v>
      </c>
      <c r="G391" s="39" t="s">
        <v>1155</v>
      </c>
      <c r="H391" s="39" t="s">
        <v>8</v>
      </c>
    </row>
    <row r="392" spans="1:8" x14ac:dyDescent="0.3">
      <c r="A392" s="39" t="s">
        <v>44</v>
      </c>
      <c r="B392" s="135" t="s">
        <v>1156</v>
      </c>
      <c r="C392" s="41">
        <v>46161</v>
      </c>
      <c r="D392" s="39" t="s">
        <v>328</v>
      </c>
      <c r="F392" t="s">
        <v>1157</v>
      </c>
      <c r="G392" s="39" t="s">
        <v>1158</v>
      </c>
      <c r="H392" s="39" t="s">
        <v>8</v>
      </c>
    </row>
    <row r="393" spans="1:8" x14ac:dyDescent="0.3">
      <c r="A393" s="39" t="s">
        <v>44</v>
      </c>
      <c r="B393" s="135" t="s">
        <v>1001</v>
      </c>
      <c r="C393" s="41">
        <v>46161</v>
      </c>
      <c r="D393" s="39" t="s">
        <v>328</v>
      </c>
      <c r="E393" s="40">
        <v>29725</v>
      </c>
      <c r="F393" s="39" t="s">
        <v>1159</v>
      </c>
      <c r="G393" s="120" t="s">
        <v>1160</v>
      </c>
      <c r="H393" s="39" t="s">
        <v>8</v>
      </c>
    </row>
    <row r="394" spans="1:8" x14ac:dyDescent="0.3">
      <c r="A394" s="39" t="s">
        <v>41</v>
      </c>
      <c r="B394" s="135" t="s">
        <v>1161</v>
      </c>
      <c r="C394" s="41">
        <v>46161</v>
      </c>
      <c r="D394" s="39" t="s">
        <v>328</v>
      </c>
      <c r="E394" s="40">
        <v>15199</v>
      </c>
      <c r="F394" s="39" t="s">
        <v>1162</v>
      </c>
      <c r="H394" s="39" t="s">
        <v>11</v>
      </c>
    </row>
    <row r="395" spans="1:8" x14ac:dyDescent="0.3">
      <c r="A395" s="39" t="s">
        <v>44</v>
      </c>
      <c r="B395" s="135" t="s">
        <v>1164</v>
      </c>
      <c r="C395" s="41">
        <v>46161</v>
      </c>
      <c r="D395" s="39" t="s">
        <v>328</v>
      </c>
      <c r="E395" s="40">
        <v>17846</v>
      </c>
      <c r="F395" s="39" t="s">
        <v>1165</v>
      </c>
      <c r="H395" s="39" t="s">
        <v>8</v>
      </c>
    </row>
    <row r="396" spans="1:8" x14ac:dyDescent="0.3">
      <c r="A396" s="39" t="s">
        <v>357</v>
      </c>
      <c r="B396" s="135" t="s">
        <v>1167</v>
      </c>
      <c r="C396" s="41">
        <v>46161</v>
      </c>
      <c r="D396" s="39" t="s">
        <v>328</v>
      </c>
      <c r="E396" s="40">
        <v>24544</v>
      </c>
      <c r="F396" s="39" t="s">
        <v>1166</v>
      </c>
      <c r="H396" s="39" t="s">
        <v>8</v>
      </c>
    </row>
    <row r="397" spans="1:8" x14ac:dyDescent="0.3">
      <c r="A397" s="39" t="s">
        <v>357</v>
      </c>
      <c r="B397" s="135" t="s">
        <v>1168</v>
      </c>
      <c r="C397" s="41">
        <v>46161</v>
      </c>
      <c r="D397" s="39" t="s">
        <v>173</v>
      </c>
      <c r="E397" s="40">
        <v>28793</v>
      </c>
      <c r="F397" s="39" t="s">
        <v>1169</v>
      </c>
      <c r="H397" s="39" t="s">
        <v>8</v>
      </c>
    </row>
    <row r="398" spans="1:8" x14ac:dyDescent="0.3">
      <c r="A398" s="39" t="s">
        <v>43</v>
      </c>
      <c r="B398" s="135" t="s">
        <v>1170</v>
      </c>
      <c r="C398" s="41">
        <v>46161</v>
      </c>
      <c r="D398" s="39" t="s">
        <v>328</v>
      </c>
      <c r="E398" s="40">
        <v>12393</v>
      </c>
      <c r="F398" s="39" t="s">
        <v>1171</v>
      </c>
      <c r="H398" s="39" t="s">
        <v>8</v>
      </c>
    </row>
    <row r="399" spans="1:8" x14ac:dyDescent="0.3">
      <c r="A399" s="39" t="s">
        <v>44</v>
      </c>
      <c r="B399" s="135" t="s">
        <v>1172</v>
      </c>
      <c r="C399" s="41">
        <v>46161</v>
      </c>
      <c r="D399" s="39" t="s">
        <v>328</v>
      </c>
      <c r="E399" s="40">
        <v>12393</v>
      </c>
      <c r="F399" s="39" t="s">
        <v>1171</v>
      </c>
      <c r="H399" s="39" t="s">
        <v>8</v>
      </c>
    </row>
    <row r="400" spans="1:8" x14ac:dyDescent="0.3">
      <c r="A400" s="39" t="s">
        <v>44</v>
      </c>
      <c r="B400" s="135" t="s">
        <v>1173</v>
      </c>
      <c r="C400" s="41">
        <v>46161</v>
      </c>
      <c r="D400" s="39" t="s">
        <v>328</v>
      </c>
      <c r="E400" s="40">
        <v>8045</v>
      </c>
      <c r="F400" s="39" t="s">
        <v>1174</v>
      </c>
      <c r="G400" s="39" t="s">
        <v>1175</v>
      </c>
      <c r="H400" s="39" t="s">
        <v>8</v>
      </c>
    </row>
    <row r="401" spans="1:8" x14ac:dyDescent="0.3">
      <c r="A401" s="39" t="s">
        <v>44</v>
      </c>
      <c r="B401" s="135" t="s">
        <v>1331</v>
      </c>
      <c r="C401" s="41">
        <v>46162</v>
      </c>
      <c r="D401" s="39" t="s">
        <v>351</v>
      </c>
      <c r="E401" s="40">
        <v>34450</v>
      </c>
      <c r="F401" s="39" t="s">
        <v>1176</v>
      </c>
      <c r="G401" s="39" t="s">
        <v>1177</v>
      </c>
      <c r="H401" s="39" t="s">
        <v>28</v>
      </c>
    </row>
    <row r="402" spans="1:8" x14ac:dyDescent="0.3">
      <c r="A402" s="39" t="s">
        <v>44</v>
      </c>
      <c r="B402" s="135" t="s">
        <v>1330</v>
      </c>
      <c r="C402" s="41">
        <v>46162</v>
      </c>
      <c r="D402" s="39" t="s">
        <v>351</v>
      </c>
      <c r="E402" s="40">
        <v>37313</v>
      </c>
      <c r="F402" s="39" t="s">
        <v>1179</v>
      </c>
      <c r="G402" s="39" t="s">
        <v>1178</v>
      </c>
      <c r="H402" s="39" t="s">
        <v>29</v>
      </c>
    </row>
    <row r="403" spans="1:8" x14ac:dyDescent="0.3">
      <c r="A403" s="39" t="s">
        <v>44</v>
      </c>
      <c r="B403" s="135">
        <v>165236</v>
      </c>
      <c r="C403" s="41">
        <v>46162</v>
      </c>
      <c r="D403" s="39" t="s">
        <v>351</v>
      </c>
      <c r="E403" s="40">
        <v>39740</v>
      </c>
      <c r="F403" s="39" t="s">
        <v>1181</v>
      </c>
      <c r="G403" s="39" t="s">
        <v>1180</v>
      </c>
      <c r="H403" s="39" t="s">
        <v>29</v>
      </c>
    </row>
    <row r="404" spans="1:8" x14ac:dyDescent="0.3">
      <c r="A404" s="39" t="s">
        <v>44</v>
      </c>
      <c r="B404" s="135">
        <v>163134</v>
      </c>
      <c r="C404" s="41">
        <v>46162</v>
      </c>
      <c r="D404" s="39" t="s">
        <v>351</v>
      </c>
      <c r="E404" s="40">
        <v>33595</v>
      </c>
      <c r="F404" s="39" t="s">
        <v>1183</v>
      </c>
      <c r="G404" s="39" t="s">
        <v>1182</v>
      </c>
      <c r="H404" s="39" t="s">
        <v>28</v>
      </c>
    </row>
    <row r="405" spans="1:8" x14ac:dyDescent="0.3">
      <c r="A405" s="39" t="s">
        <v>44</v>
      </c>
      <c r="B405" s="135">
        <v>166643</v>
      </c>
      <c r="C405" s="41">
        <v>46162</v>
      </c>
      <c r="D405" s="39" t="s">
        <v>351</v>
      </c>
      <c r="E405" s="40">
        <v>14121</v>
      </c>
      <c r="F405" t="s">
        <v>1184</v>
      </c>
      <c r="G405" s="39" t="s">
        <v>1185</v>
      </c>
      <c r="H405" s="39" t="s">
        <v>28</v>
      </c>
    </row>
    <row r="406" spans="1:8" x14ac:dyDescent="0.3">
      <c r="A406" s="39" t="s">
        <v>44</v>
      </c>
      <c r="B406" s="138" t="s">
        <v>1187</v>
      </c>
      <c r="C406" s="41">
        <v>46162</v>
      </c>
      <c r="D406" s="39" t="s">
        <v>328</v>
      </c>
      <c r="E406" s="40">
        <v>10043</v>
      </c>
      <c r="F406" s="39" t="s">
        <v>1188</v>
      </c>
      <c r="G406" s="39" t="s">
        <v>1095</v>
      </c>
      <c r="H406" s="39" t="s">
        <v>8</v>
      </c>
    </row>
    <row r="407" spans="1:8" x14ac:dyDescent="0.3">
      <c r="A407" s="39" t="s">
        <v>44</v>
      </c>
      <c r="B407" s="135">
        <v>31374</v>
      </c>
      <c r="C407" s="41">
        <v>46162</v>
      </c>
      <c r="D407" s="39" t="s">
        <v>328</v>
      </c>
      <c r="E407" s="40">
        <v>31374</v>
      </c>
      <c r="F407" s="39" t="s">
        <v>1189</v>
      </c>
      <c r="G407" s="39" t="s">
        <v>1190</v>
      </c>
      <c r="H407" s="39" t="s">
        <v>307</v>
      </c>
    </row>
    <row r="408" spans="1:8" x14ac:dyDescent="0.3">
      <c r="A408" s="39" t="s">
        <v>357</v>
      </c>
      <c r="B408" s="135" t="s">
        <v>1346</v>
      </c>
      <c r="C408" s="41">
        <v>46162</v>
      </c>
      <c r="D408" s="39" t="s">
        <v>173</v>
      </c>
      <c r="F408" s="39" t="s">
        <v>1191</v>
      </c>
      <c r="G408" s="39" t="s">
        <v>1192</v>
      </c>
      <c r="H408" s="39" t="s">
        <v>307</v>
      </c>
    </row>
    <row r="409" spans="1:8" x14ac:dyDescent="0.3">
      <c r="A409" s="39" t="s">
        <v>44</v>
      </c>
      <c r="B409" s="135">
        <v>31391</v>
      </c>
      <c r="C409" s="41">
        <v>46162</v>
      </c>
      <c r="D409" s="39" t="s">
        <v>173</v>
      </c>
      <c r="E409" s="40">
        <v>31391</v>
      </c>
      <c r="F409" s="39" t="s">
        <v>1193</v>
      </c>
      <c r="G409" s="39" t="s">
        <v>1194</v>
      </c>
      <c r="H409" s="39" t="s">
        <v>307</v>
      </c>
    </row>
    <row r="410" spans="1:8" x14ac:dyDescent="0.3">
      <c r="A410" s="39" t="s">
        <v>44</v>
      </c>
      <c r="B410" s="135">
        <v>31395</v>
      </c>
      <c r="C410" s="41">
        <v>46162</v>
      </c>
      <c r="D410" s="39" t="s">
        <v>173</v>
      </c>
      <c r="E410" s="40">
        <v>31395</v>
      </c>
      <c r="F410" s="39" t="s">
        <v>1195</v>
      </c>
      <c r="G410" s="39" t="s">
        <v>1196</v>
      </c>
      <c r="H410" s="39" t="s">
        <v>307</v>
      </c>
    </row>
    <row r="411" spans="1:8" x14ac:dyDescent="0.3">
      <c r="A411" s="39" t="s">
        <v>44</v>
      </c>
      <c r="B411" s="135">
        <v>31376</v>
      </c>
      <c r="C411" s="41">
        <v>46162</v>
      </c>
      <c r="D411" s="39" t="s">
        <v>173</v>
      </c>
      <c r="E411" s="40">
        <v>31376</v>
      </c>
      <c r="F411" s="39" t="s">
        <v>1197</v>
      </c>
      <c r="G411" s="39" t="s">
        <v>1198</v>
      </c>
      <c r="H411" s="39" t="s">
        <v>307</v>
      </c>
    </row>
    <row r="412" spans="1:8" x14ac:dyDescent="0.3">
      <c r="A412" s="39" t="s">
        <v>43</v>
      </c>
      <c r="B412" s="135">
        <v>152513</v>
      </c>
      <c r="C412" s="41">
        <v>46162</v>
      </c>
      <c r="D412" s="39" t="s">
        <v>339</v>
      </c>
      <c r="E412" s="40">
        <v>16405</v>
      </c>
      <c r="F412" s="39" t="s">
        <v>907</v>
      </c>
      <c r="H412" s="39" t="s">
        <v>8</v>
      </c>
    </row>
    <row r="413" spans="1:8" x14ac:dyDescent="0.3">
      <c r="A413" s="39" t="s">
        <v>44</v>
      </c>
      <c r="B413" s="135">
        <v>151036</v>
      </c>
      <c r="C413" s="41">
        <v>46162</v>
      </c>
      <c r="D413" s="39" t="s">
        <v>339</v>
      </c>
      <c r="E413" s="40">
        <v>16405</v>
      </c>
      <c r="F413" s="39" t="s">
        <v>907</v>
      </c>
      <c r="G413" s="39" t="s">
        <v>1199</v>
      </c>
      <c r="H413" s="39" t="s">
        <v>8</v>
      </c>
    </row>
    <row r="414" spans="1:8" x14ac:dyDescent="0.3">
      <c r="A414" s="39" t="s">
        <v>357</v>
      </c>
      <c r="B414" s="135" t="s">
        <v>1201</v>
      </c>
      <c r="C414" s="41">
        <v>46163</v>
      </c>
      <c r="D414" s="39" t="s">
        <v>324</v>
      </c>
      <c r="E414" s="40">
        <v>30991</v>
      </c>
      <c r="F414" s="39" t="s">
        <v>1402</v>
      </c>
      <c r="H414" s="39" t="s">
        <v>8</v>
      </c>
    </row>
    <row r="415" spans="1:8" x14ac:dyDescent="0.3">
      <c r="A415" s="39" t="s">
        <v>120</v>
      </c>
      <c r="B415" s="137" t="s">
        <v>1202</v>
      </c>
      <c r="C415" s="41">
        <v>46163</v>
      </c>
      <c r="D415" s="39" t="s">
        <v>328</v>
      </c>
      <c r="E415" s="40">
        <v>20013</v>
      </c>
      <c r="F415" s="39" t="s">
        <v>1203</v>
      </c>
      <c r="H415" s="39" t="s">
        <v>15</v>
      </c>
    </row>
    <row r="416" spans="1:8" x14ac:dyDescent="0.3">
      <c r="A416" s="39" t="s">
        <v>44</v>
      </c>
      <c r="B416" s="135">
        <v>26154720</v>
      </c>
      <c r="C416" s="41">
        <v>46163</v>
      </c>
      <c r="D416" s="39" t="s">
        <v>328</v>
      </c>
      <c r="E416" s="40">
        <v>23737</v>
      </c>
      <c r="F416" s="39" t="s">
        <v>376</v>
      </c>
      <c r="H416" s="39" t="s">
        <v>15</v>
      </c>
    </row>
    <row r="417" spans="1:8" x14ac:dyDescent="0.3">
      <c r="A417" s="39" t="s">
        <v>44</v>
      </c>
      <c r="B417" s="135" t="s">
        <v>1204</v>
      </c>
      <c r="C417" s="41">
        <v>46163</v>
      </c>
      <c r="D417" s="39" t="s">
        <v>328</v>
      </c>
      <c r="E417" s="40">
        <v>12373</v>
      </c>
      <c r="F417" s="39" t="s">
        <v>1205</v>
      </c>
      <c r="H417" s="39" t="s">
        <v>8</v>
      </c>
    </row>
    <row r="418" spans="1:8" x14ac:dyDescent="0.3">
      <c r="A418" s="39" t="s">
        <v>44</v>
      </c>
      <c r="B418" s="135">
        <v>26155532</v>
      </c>
      <c r="C418" s="41">
        <v>46163</v>
      </c>
      <c r="D418" s="39" t="s">
        <v>220</v>
      </c>
      <c r="E418" s="40">
        <v>22848</v>
      </c>
      <c r="F418" s="39" t="s">
        <v>1206</v>
      </c>
      <c r="H418" s="39" t="s">
        <v>11</v>
      </c>
    </row>
    <row r="419" spans="1:8" x14ac:dyDescent="0.3">
      <c r="A419" s="39" t="s">
        <v>357</v>
      </c>
      <c r="B419" s="135" t="s">
        <v>1208</v>
      </c>
      <c r="C419" s="41">
        <v>46163</v>
      </c>
      <c r="D419" s="39" t="s">
        <v>173</v>
      </c>
      <c r="E419" s="40">
        <v>30722</v>
      </c>
      <c r="F419" s="39" t="s">
        <v>1207</v>
      </c>
      <c r="H419" s="39" t="s">
        <v>8</v>
      </c>
    </row>
    <row r="420" spans="1:8" x14ac:dyDescent="0.3">
      <c r="A420" s="39" t="s">
        <v>44</v>
      </c>
      <c r="B420" s="135" t="s">
        <v>1210</v>
      </c>
      <c r="C420" s="41">
        <v>46163</v>
      </c>
      <c r="D420" s="39" t="s">
        <v>220</v>
      </c>
      <c r="E420" s="40">
        <v>19897</v>
      </c>
      <c r="F420" s="39" t="s">
        <v>1209</v>
      </c>
      <c r="H420" s="39" t="s">
        <v>11</v>
      </c>
    </row>
    <row r="421" spans="1:8" x14ac:dyDescent="0.3">
      <c r="A421" s="39" t="s">
        <v>44</v>
      </c>
      <c r="B421" s="135" t="s">
        <v>1211</v>
      </c>
      <c r="C421" s="41">
        <v>46163</v>
      </c>
      <c r="D421" s="39" t="s">
        <v>177</v>
      </c>
      <c r="E421" s="40">
        <v>27909</v>
      </c>
      <c r="F421" s="39" t="s">
        <v>1212</v>
      </c>
      <c r="H421" s="39" t="s">
        <v>8</v>
      </c>
    </row>
    <row r="422" spans="1:8" x14ac:dyDescent="0.3">
      <c r="A422" s="39" t="s">
        <v>44</v>
      </c>
      <c r="B422" s="135" t="s">
        <v>1213</v>
      </c>
      <c r="C422" s="41">
        <v>46163</v>
      </c>
      <c r="D422" s="39" t="s">
        <v>328</v>
      </c>
      <c r="E422" s="40">
        <v>30471</v>
      </c>
      <c r="F422" s="39" t="s">
        <v>1214</v>
      </c>
      <c r="H422" s="39" t="s">
        <v>8</v>
      </c>
    </row>
    <row r="423" spans="1:8" x14ac:dyDescent="0.3">
      <c r="A423" s="39" t="s">
        <v>357</v>
      </c>
      <c r="B423" s="135" t="s">
        <v>1215</v>
      </c>
      <c r="C423" s="41">
        <v>46163</v>
      </c>
      <c r="D423" s="39" t="s">
        <v>330</v>
      </c>
      <c r="E423" s="40">
        <v>25382</v>
      </c>
      <c r="F423" s="39" t="s">
        <v>456</v>
      </c>
      <c r="H423" s="39" t="s">
        <v>11</v>
      </c>
    </row>
    <row r="424" spans="1:8" x14ac:dyDescent="0.3">
      <c r="A424" s="39" t="s">
        <v>44</v>
      </c>
      <c r="B424" s="135" t="s">
        <v>1216</v>
      </c>
      <c r="C424" s="41">
        <v>46163</v>
      </c>
      <c r="D424" s="39" t="s">
        <v>328</v>
      </c>
      <c r="E424" s="40">
        <v>25126</v>
      </c>
      <c r="F424" s="39" t="s">
        <v>1217</v>
      </c>
      <c r="H424" s="39" t="s">
        <v>18</v>
      </c>
    </row>
    <row r="425" spans="1:8" x14ac:dyDescent="0.3">
      <c r="A425" s="39" t="s">
        <v>39</v>
      </c>
      <c r="B425" s="135" t="s">
        <v>1218</v>
      </c>
      <c r="C425" s="41">
        <v>46163</v>
      </c>
      <c r="D425" s="39" t="s">
        <v>313</v>
      </c>
      <c r="E425" s="40">
        <v>30517</v>
      </c>
      <c r="F425" s="39" t="s">
        <v>414</v>
      </c>
      <c r="H425" s="39" t="s">
        <v>11</v>
      </c>
    </row>
    <row r="426" spans="1:8" x14ac:dyDescent="0.3">
      <c r="A426" s="39" t="s">
        <v>44</v>
      </c>
      <c r="B426" s="135" t="s">
        <v>1219</v>
      </c>
      <c r="C426" s="41">
        <v>46163</v>
      </c>
      <c r="D426" s="39" t="s">
        <v>328</v>
      </c>
      <c r="E426" s="40">
        <v>12784</v>
      </c>
      <c r="F426" s="39" t="s">
        <v>1220</v>
      </c>
      <c r="H426" s="39" t="s">
        <v>8</v>
      </c>
    </row>
    <row r="427" spans="1:8" x14ac:dyDescent="0.3">
      <c r="A427" s="39" t="s">
        <v>43</v>
      </c>
      <c r="B427" s="135" t="s">
        <v>1221</v>
      </c>
      <c r="C427" s="41">
        <v>46163</v>
      </c>
      <c r="D427" s="39" t="s">
        <v>319</v>
      </c>
      <c r="E427" s="40">
        <v>21388</v>
      </c>
      <c r="F427" s="39" t="s">
        <v>1222</v>
      </c>
      <c r="H427" s="39" t="s">
        <v>8</v>
      </c>
    </row>
    <row r="428" spans="1:8" x14ac:dyDescent="0.3">
      <c r="A428" s="39" t="s">
        <v>357</v>
      </c>
      <c r="B428" s="135" t="s">
        <v>1223</v>
      </c>
      <c r="C428" s="41">
        <v>46163</v>
      </c>
      <c r="D428" s="39" t="s">
        <v>319</v>
      </c>
      <c r="E428" s="40">
        <v>21388</v>
      </c>
      <c r="F428" s="39" t="s">
        <v>1222</v>
      </c>
      <c r="H428" s="39" t="s">
        <v>8</v>
      </c>
    </row>
    <row r="429" spans="1:8" x14ac:dyDescent="0.3">
      <c r="A429" s="39" t="s">
        <v>357</v>
      </c>
      <c r="B429" s="135" t="s">
        <v>1223</v>
      </c>
      <c r="C429" s="41">
        <v>46163</v>
      </c>
      <c r="D429" s="39" t="s">
        <v>319</v>
      </c>
      <c r="E429" s="40">
        <v>19881</v>
      </c>
      <c r="F429" s="39" t="s">
        <v>1224</v>
      </c>
      <c r="H429" s="39" t="s">
        <v>8</v>
      </c>
    </row>
    <row r="430" spans="1:8" x14ac:dyDescent="0.3">
      <c r="A430" s="39" t="s">
        <v>45</v>
      </c>
      <c r="B430" s="135" t="s">
        <v>1225</v>
      </c>
      <c r="C430" s="41">
        <v>46163</v>
      </c>
      <c r="D430" s="39" t="s">
        <v>328</v>
      </c>
      <c r="E430" s="40">
        <v>19075</v>
      </c>
      <c r="F430" s="39" t="s">
        <v>1226</v>
      </c>
      <c r="H430" s="39" t="s">
        <v>15</v>
      </c>
    </row>
    <row r="431" spans="1:8" x14ac:dyDescent="0.3">
      <c r="A431" s="39" t="s">
        <v>45</v>
      </c>
      <c r="B431" s="135" t="s">
        <v>1227</v>
      </c>
      <c r="C431" s="41">
        <v>46163</v>
      </c>
      <c r="D431" s="39" t="s">
        <v>328</v>
      </c>
      <c r="E431" s="40">
        <v>7847</v>
      </c>
      <c r="F431" s="39" t="s">
        <v>1228</v>
      </c>
      <c r="H431" s="39" t="s">
        <v>15</v>
      </c>
    </row>
    <row r="432" spans="1:8" x14ac:dyDescent="0.3">
      <c r="A432" s="39" t="s">
        <v>45</v>
      </c>
      <c r="B432" s="135" t="s">
        <v>1230</v>
      </c>
      <c r="C432" s="41">
        <v>46163</v>
      </c>
      <c r="D432" s="39" t="s">
        <v>328</v>
      </c>
      <c r="E432" s="40">
        <v>19074</v>
      </c>
      <c r="F432" s="39" t="s">
        <v>1229</v>
      </c>
      <c r="H432" s="39" t="s">
        <v>15</v>
      </c>
    </row>
    <row r="433" spans="1:8" x14ac:dyDescent="0.3">
      <c r="A433" s="39" t="s">
        <v>38</v>
      </c>
      <c r="B433" s="135" t="s">
        <v>1231</v>
      </c>
      <c r="C433" s="41">
        <v>46163</v>
      </c>
      <c r="D433" s="39" t="s">
        <v>328</v>
      </c>
      <c r="E433" s="40">
        <v>14823</v>
      </c>
      <c r="F433" s="39" t="s">
        <v>1232</v>
      </c>
      <c r="H433" s="39" t="s">
        <v>18</v>
      </c>
    </row>
    <row r="434" spans="1:8" x14ac:dyDescent="0.3">
      <c r="A434" s="39" t="s">
        <v>44</v>
      </c>
      <c r="B434" s="135" t="s">
        <v>1233</v>
      </c>
      <c r="C434" s="41">
        <v>46163</v>
      </c>
      <c r="D434" s="39" t="s">
        <v>328</v>
      </c>
      <c r="E434" s="40">
        <v>30027</v>
      </c>
      <c r="F434" s="39" t="s">
        <v>1234</v>
      </c>
      <c r="H434" s="39" t="s">
        <v>8</v>
      </c>
    </row>
    <row r="435" spans="1:8" x14ac:dyDescent="0.3">
      <c r="A435" s="39" t="s">
        <v>44</v>
      </c>
      <c r="B435" s="135">
        <v>165131</v>
      </c>
      <c r="C435" s="41">
        <v>46164</v>
      </c>
      <c r="D435" s="39" t="s">
        <v>351</v>
      </c>
      <c r="E435" s="40">
        <v>38496</v>
      </c>
      <c r="F435" s="39" t="s">
        <v>1235</v>
      </c>
      <c r="G435" s="120" t="s">
        <v>1236</v>
      </c>
      <c r="H435" s="39" t="s">
        <v>29</v>
      </c>
    </row>
    <row r="436" spans="1:8" x14ac:dyDescent="0.3">
      <c r="A436" s="39" t="s">
        <v>44</v>
      </c>
      <c r="B436" s="135" t="s">
        <v>1237</v>
      </c>
      <c r="C436" s="41">
        <v>46164</v>
      </c>
      <c r="D436" s="39" t="s">
        <v>317</v>
      </c>
      <c r="E436" s="40">
        <v>22082</v>
      </c>
      <c r="F436" s="39" t="s">
        <v>1238</v>
      </c>
      <c r="G436" s="39" t="s">
        <v>1239</v>
      </c>
      <c r="H436" s="39" t="s">
        <v>8</v>
      </c>
    </row>
    <row r="437" spans="1:8" x14ac:dyDescent="0.3">
      <c r="A437" s="39" t="s">
        <v>358</v>
      </c>
      <c r="C437" s="41">
        <v>46160</v>
      </c>
      <c r="F437" s="39" t="s">
        <v>1240</v>
      </c>
      <c r="G437" s="39" t="s">
        <v>1260</v>
      </c>
    </row>
    <row r="438" spans="1:8" x14ac:dyDescent="0.3">
      <c r="A438" s="39" t="s">
        <v>44</v>
      </c>
      <c r="B438" s="135">
        <v>163589</v>
      </c>
      <c r="C438" s="41">
        <v>46164</v>
      </c>
      <c r="D438" s="39" t="s">
        <v>339</v>
      </c>
      <c r="E438" s="40">
        <v>10668</v>
      </c>
      <c r="F438" s="39" t="s">
        <v>1241</v>
      </c>
      <c r="H438" s="39" t="s">
        <v>8</v>
      </c>
    </row>
    <row r="439" spans="1:8" x14ac:dyDescent="0.3">
      <c r="A439" s="39" t="s">
        <v>44</v>
      </c>
      <c r="B439" s="135">
        <v>26157206</v>
      </c>
      <c r="C439" s="41">
        <v>46164</v>
      </c>
      <c r="D439" s="39" t="s">
        <v>328</v>
      </c>
      <c r="E439" s="40">
        <v>10668</v>
      </c>
      <c r="F439" s="39" t="s">
        <v>1241</v>
      </c>
      <c r="H439" s="39" t="s">
        <v>8</v>
      </c>
    </row>
    <row r="440" spans="1:8" x14ac:dyDescent="0.3">
      <c r="A440" s="39" t="s">
        <v>43</v>
      </c>
      <c r="B440" s="135" t="s">
        <v>1242</v>
      </c>
      <c r="C440" s="41">
        <v>46164</v>
      </c>
      <c r="D440" s="39" t="s">
        <v>328</v>
      </c>
      <c r="E440" s="40">
        <v>10668</v>
      </c>
      <c r="F440" s="39" t="s">
        <v>1241</v>
      </c>
      <c r="H440" s="39" t="s">
        <v>8</v>
      </c>
    </row>
    <row r="441" spans="1:8" x14ac:dyDescent="0.3">
      <c r="A441" s="39" t="s">
        <v>44</v>
      </c>
      <c r="B441" s="135" t="s">
        <v>1243</v>
      </c>
      <c r="C441" s="41">
        <v>46164</v>
      </c>
      <c r="D441" s="39" t="s">
        <v>326</v>
      </c>
      <c r="E441" s="40">
        <v>29868</v>
      </c>
      <c r="F441" s="39" t="s">
        <v>1244</v>
      </c>
      <c r="H441" s="39" t="s">
        <v>18</v>
      </c>
    </row>
    <row r="442" spans="1:8" x14ac:dyDescent="0.3">
      <c r="A442" s="39" t="s">
        <v>39</v>
      </c>
      <c r="B442" s="135" t="s">
        <v>1245</v>
      </c>
      <c r="C442" s="41">
        <v>46164</v>
      </c>
      <c r="D442" s="39" t="s">
        <v>328</v>
      </c>
      <c r="E442" s="40">
        <v>16993</v>
      </c>
      <c r="F442" s="39" t="s">
        <v>848</v>
      </c>
      <c r="H442" s="39" t="s">
        <v>18</v>
      </c>
    </row>
    <row r="443" spans="1:8" x14ac:dyDescent="0.3">
      <c r="A443" s="39" t="s">
        <v>39</v>
      </c>
      <c r="B443" s="135" t="s">
        <v>1246</v>
      </c>
      <c r="C443" s="41">
        <v>46164</v>
      </c>
      <c r="D443" s="39" t="s">
        <v>328</v>
      </c>
      <c r="E443" s="40">
        <v>16993</v>
      </c>
      <c r="F443" s="39" t="s">
        <v>848</v>
      </c>
      <c r="H443" s="39" t="s">
        <v>18</v>
      </c>
    </row>
    <row r="444" spans="1:8" x14ac:dyDescent="0.3">
      <c r="A444" s="39" t="s">
        <v>39</v>
      </c>
      <c r="B444" s="135" t="s">
        <v>1247</v>
      </c>
      <c r="C444" s="41">
        <v>46164</v>
      </c>
      <c r="D444" s="39" t="s">
        <v>328</v>
      </c>
      <c r="E444" s="40">
        <v>28431</v>
      </c>
      <c r="F444" s="39" t="s">
        <v>848</v>
      </c>
      <c r="H444" s="39" t="s">
        <v>18</v>
      </c>
    </row>
    <row r="445" spans="1:8" x14ac:dyDescent="0.3">
      <c r="A445" s="39" t="s">
        <v>39</v>
      </c>
      <c r="B445" s="135" t="s">
        <v>1248</v>
      </c>
      <c r="C445" s="41">
        <v>46164</v>
      </c>
      <c r="D445" s="39" t="s">
        <v>328</v>
      </c>
      <c r="E445" s="40">
        <v>28431</v>
      </c>
      <c r="F445" s="39" t="s">
        <v>848</v>
      </c>
      <c r="H445" s="39" t="s">
        <v>18</v>
      </c>
    </row>
    <row r="446" spans="1:8" x14ac:dyDescent="0.3">
      <c r="A446" s="39" t="s">
        <v>44</v>
      </c>
      <c r="B446" s="135" t="s">
        <v>1249</v>
      </c>
      <c r="C446" s="41">
        <v>46164</v>
      </c>
      <c r="D446" s="39" t="s">
        <v>328</v>
      </c>
      <c r="E446" s="40">
        <v>21938</v>
      </c>
      <c r="F446" s="39" t="s">
        <v>1250</v>
      </c>
      <c r="H446" s="39" t="s">
        <v>18</v>
      </c>
    </row>
    <row r="447" spans="1:8" x14ac:dyDescent="0.3">
      <c r="A447" s="39" t="s">
        <v>44</v>
      </c>
      <c r="B447" s="135" t="s">
        <v>1251</v>
      </c>
      <c r="C447" s="41">
        <v>46164</v>
      </c>
      <c r="D447" s="39" t="s">
        <v>319</v>
      </c>
      <c r="E447" s="40">
        <v>29975</v>
      </c>
      <c r="F447" s="39" t="s">
        <v>1252</v>
      </c>
      <c r="H447" s="39" t="s">
        <v>18</v>
      </c>
    </row>
    <row r="448" spans="1:8" x14ac:dyDescent="0.3">
      <c r="A448" s="39" t="s">
        <v>44</v>
      </c>
      <c r="B448" s="135">
        <v>26160961</v>
      </c>
      <c r="C448" s="41">
        <v>46164</v>
      </c>
      <c r="D448" s="39" t="s">
        <v>316</v>
      </c>
      <c r="E448" s="40">
        <v>31303</v>
      </c>
      <c r="F448" s="39" t="s">
        <v>1253</v>
      </c>
      <c r="H448" s="39" t="s">
        <v>8</v>
      </c>
    </row>
    <row r="449" spans="1:8" x14ac:dyDescent="0.3">
      <c r="A449" s="39" t="s">
        <v>44</v>
      </c>
      <c r="B449" s="135">
        <v>26161086</v>
      </c>
      <c r="C449" s="41">
        <v>46164</v>
      </c>
      <c r="D449" s="39" t="s">
        <v>326</v>
      </c>
      <c r="E449" s="40">
        <v>29271</v>
      </c>
      <c r="F449" s="39" t="s">
        <v>1254</v>
      </c>
      <c r="G449" s="39" t="s">
        <v>1255</v>
      </c>
      <c r="H449" s="39" t="s">
        <v>18</v>
      </c>
    </row>
    <row r="450" spans="1:8" x14ac:dyDescent="0.3">
      <c r="A450" s="39" t="s">
        <v>44</v>
      </c>
      <c r="B450" s="135" t="s">
        <v>1257</v>
      </c>
      <c r="C450" s="41">
        <v>46164</v>
      </c>
      <c r="D450" s="39" t="s">
        <v>317</v>
      </c>
      <c r="E450" s="40">
        <v>29724</v>
      </c>
      <c r="F450" s="39" t="s">
        <v>1256</v>
      </c>
    </row>
    <row r="451" spans="1:8" x14ac:dyDescent="0.3">
      <c r="A451" s="39" t="s">
        <v>358</v>
      </c>
      <c r="C451" s="41">
        <v>46153</v>
      </c>
      <c r="D451" s="39" t="s">
        <v>220</v>
      </c>
      <c r="F451" s="39" t="s">
        <v>1258</v>
      </c>
      <c r="G451" s="39" t="s">
        <v>1259</v>
      </c>
    </row>
    <row r="452" spans="1:8" x14ac:dyDescent="0.3">
      <c r="A452" s="39" t="s">
        <v>44</v>
      </c>
      <c r="B452" s="135">
        <v>31389</v>
      </c>
      <c r="C452" s="41">
        <v>46164</v>
      </c>
      <c r="D452" s="39" t="s">
        <v>347</v>
      </c>
      <c r="E452" s="40">
        <v>31389</v>
      </c>
      <c r="F452" s="39" t="s">
        <v>1262</v>
      </c>
      <c r="G452" s="39" t="s">
        <v>1261</v>
      </c>
      <c r="H452" s="39" t="s">
        <v>307</v>
      </c>
    </row>
    <row r="453" spans="1:8" x14ac:dyDescent="0.3">
      <c r="A453" s="39" t="s">
        <v>44</v>
      </c>
      <c r="B453" s="135" t="s">
        <v>1263</v>
      </c>
      <c r="C453" s="41">
        <v>46164</v>
      </c>
      <c r="D453" s="39" t="s">
        <v>351</v>
      </c>
      <c r="E453" s="40">
        <v>41939</v>
      </c>
      <c r="F453" s="39" t="s">
        <v>1264</v>
      </c>
      <c r="G453" s="39" t="s">
        <v>1265</v>
      </c>
      <c r="H453" s="39" t="s">
        <v>9</v>
      </c>
    </row>
    <row r="454" spans="1:8" x14ac:dyDescent="0.3">
      <c r="A454" s="39" t="s">
        <v>44</v>
      </c>
      <c r="B454" s="135">
        <v>31390</v>
      </c>
      <c r="C454" s="41">
        <v>46164</v>
      </c>
      <c r="D454" s="39" t="s">
        <v>317</v>
      </c>
      <c r="E454" s="40">
        <v>31390</v>
      </c>
      <c r="F454" s="39" t="s">
        <v>1267</v>
      </c>
      <c r="G454" s="39" t="s">
        <v>1266</v>
      </c>
      <c r="H454" s="39" t="s">
        <v>307</v>
      </c>
    </row>
    <row r="455" spans="1:8" x14ac:dyDescent="0.3">
      <c r="A455" s="39" t="s">
        <v>357</v>
      </c>
      <c r="B455" s="135" t="s">
        <v>1336</v>
      </c>
      <c r="C455" s="41">
        <v>46164</v>
      </c>
      <c r="D455" s="39" t="s">
        <v>317</v>
      </c>
      <c r="F455" s="39" t="s">
        <v>1269</v>
      </c>
      <c r="G455" s="120" t="s">
        <v>1268</v>
      </c>
      <c r="H455" s="39" t="s">
        <v>307</v>
      </c>
    </row>
    <row r="456" spans="1:8" x14ac:dyDescent="0.3">
      <c r="A456" s="39" t="s">
        <v>44</v>
      </c>
      <c r="B456" s="135" t="s">
        <v>1271</v>
      </c>
      <c r="C456" s="41">
        <v>46164</v>
      </c>
      <c r="D456" s="39" t="s">
        <v>221</v>
      </c>
      <c r="E456" s="40">
        <v>31285</v>
      </c>
      <c r="F456" s="39" t="s">
        <v>1270</v>
      </c>
      <c r="G456" s="39" t="s">
        <v>1272</v>
      </c>
      <c r="H456" s="39" t="s">
        <v>11</v>
      </c>
    </row>
    <row r="457" spans="1:8" x14ac:dyDescent="0.3">
      <c r="A457" s="39" t="s">
        <v>357</v>
      </c>
      <c r="B457" s="135" t="s">
        <v>1336</v>
      </c>
      <c r="C457" s="41">
        <v>46164</v>
      </c>
      <c r="D457" s="39" t="s">
        <v>173</v>
      </c>
      <c r="F457" s="39" t="s">
        <v>1274</v>
      </c>
      <c r="G457" s="39" t="s">
        <v>1273</v>
      </c>
      <c r="H457" s="39" t="s">
        <v>307</v>
      </c>
    </row>
    <row r="458" spans="1:8" x14ac:dyDescent="0.3">
      <c r="A458" s="39" t="s">
        <v>44</v>
      </c>
      <c r="B458" s="135">
        <v>31379</v>
      </c>
      <c r="C458" s="41">
        <v>46164</v>
      </c>
      <c r="D458" s="39" t="s">
        <v>328</v>
      </c>
      <c r="E458" s="40">
        <v>31379</v>
      </c>
      <c r="F458" s="39" t="s">
        <v>1275</v>
      </c>
      <c r="G458" s="39" t="s">
        <v>1276</v>
      </c>
      <c r="H458" s="39" t="s">
        <v>307</v>
      </c>
    </row>
    <row r="459" spans="1:8" x14ac:dyDescent="0.3">
      <c r="A459" s="39" t="s">
        <v>45</v>
      </c>
      <c r="B459" s="135" t="s">
        <v>1277</v>
      </c>
      <c r="C459" s="41">
        <v>46167</v>
      </c>
      <c r="D459" s="39" t="s">
        <v>326</v>
      </c>
      <c r="E459" s="40">
        <v>10809</v>
      </c>
      <c r="F459" s="39" t="s">
        <v>1278</v>
      </c>
      <c r="H459" s="39" t="s">
        <v>15</v>
      </c>
    </row>
    <row r="460" spans="1:8" x14ac:dyDescent="0.3">
      <c r="A460" s="39" t="s">
        <v>357</v>
      </c>
      <c r="B460" s="135" t="s">
        <v>1279</v>
      </c>
      <c r="C460" s="41">
        <v>46167</v>
      </c>
      <c r="D460" s="39" t="s">
        <v>328</v>
      </c>
      <c r="E460" s="40">
        <v>20897</v>
      </c>
      <c r="F460" s="39" t="s">
        <v>1280</v>
      </c>
      <c r="H460" s="39" t="s">
        <v>8</v>
      </c>
    </row>
    <row r="461" spans="1:8" x14ac:dyDescent="0.3">
      <c r="A461" s="39" t="s">
        <v>43</v>
      </c>
      <c r="B461" s="135" t="s">
        <v>1281</v>
      </c>
      <c r="C461" s="41">
        <v>46167</v>
      </c>
      <c r="D461" s="39" t="s">
        <v>328</v>
      </c>
      <c r="E461" s="40">
        <v>20897</v>
      </c>
      <c r="F461" s="39" t="s">
        <v>1280</v>
      </c>
      <c r="H461" s="39" t="s">
        <v>8</v>
      </c>
    </row>
    <row r="462" spans="1:8" x14ac:dyDescent="0.3">
      <c r="A462" s="39" t="s">
        <v>43</v>
      </c>
      <c r="B462" s="135" t="s">
        <v>1279</v>
      </c>
      <c r="C462" s="41">
        <v>46167</v>
      </c>
      <c r="D462" s="39" t="s">
        <v>328</v>
      </c>
      <c r="E462" s="40">
        <v>20897</v>
      </c>
      <c r="F462" s="39" t="s">
        <v>1280</v>
      </c>
      <c r="H462" s="39" t="s">
        <v>8</v>
      </c>
    </row>
    <row r="463" spans="1:8" x14ac:dyDescent="0.3">
      <c r="A463" s="39" t="s">
        <v>357</v>
      </c>
      <c r="B463" s="135" t="s">
        <v>1282</v>
      </c>
      <c r="C463" s="41">
        <v>46167</v>
      </c>
      <c r="D463" s="39" t="s">
        <v>339</v>
      </c>
      <c r="E463" s="40">
        <v>21495</v>
      </c>
      <c r="F463" s="39" t="s">
        <v>1283</v>
      </c>
      <c r="H463" s="39" t="s">
        <v>8</v>
      </c>
    </row>
    <row r="464" spans="1:8" x14ac:dyDescent="0.3">
      <c r="A464" s="39" t="s">
        <v>357</v>
      </c>
      <c r="B464" s="135" t="s">
        <v>1284</v>
      </c>
      <c r="C464" s="41">
        <v>46167</v>
      </c>
      <c r="D464" s="39" t="s">
        <v>173</v>
      </c>
      <c r="E464" s="40">
        <v>30333</v>
      </c>
      <c r="F464" s="39" t="s">
        <v>1285</v>
      </c>
      <c r="H464" s="39" t="s">
        <v>11</v>
      </c>
    </row>
    <row r="465" spans="1:8" x14ac:dyDescent="0.3">
      <c r="A465" s="39" t="s">
        <v>44</v>
      </c>
      <c r="B465" s="135" t="s">
        <v>1286</v>
      </c>
      <c r="C465" s="41">
        <v>46167</v>
      </c>
      <c r="D465" s="39" t="s">
        <v>328</v>
      </c>
      <c r="E465" s="40">
        <v>386</v>
      </c>
      <c r="F465" s="39" t="s">
        <v>1287</v>
      </c>
      <c r="H465" s="39" t="s">
        <v>8</v>
      </c>
    </row>
    <row r="466" spans="1:8" x14ac:dyDescent="0.3">
      <c r="A466" s="39" t="s">
        <v>44</v>
      </c>
      <c r="B466" s="135" t="s">
        <v>1288</v>
      </c>
      <c r="C466" s="41">
        <v>46167</v>
      </c>
      <c r="D466" s="39" t="s">
        <v>328</v>
      </c>
      <c r="E466" s="40">
        <v>19427</v>
      </c>
      <c r="F466" s="39" t="s">
        <v>1289</v>
      </c>
      <c r="H466" s="39" t="s">
        <v>11</v>
      </c>
    </row>
    <row r="467" spans="1:8" x14ac:dyDescent="0.3">
      <c r="A467" s="39" t="s">
        <v>45</v>
      </c>
      <c r="B467" s="135" t="s">
        <v>1290</v>
      </c>
      <c r="C467" s="41">
        <v>46167</v>
      </c>
      <c r="D467" s="39" t="s">
        <v>328</v>
      </c>
      <c r="E467" s="40">
        <v>16835</v>
      </c>
      <c r="F467" s="39" t="s">
        <v>1291</v>
      </c>
      <c r="H467" s="39" t="s">
        <v>15</v>
      </c>
    </row>
    <row r="468" spans="1:8" x14ac:dyDescent="0.3">
      <c r="A468" s="39" t="s">
        <v>44</v>
      </c>
      <c r="B468" s="135" t="s">
        <v>1292</v>
      </c>
      <c r="C468" s="41">
        <v>46167</v>
      </c>
      <c r="D468" s="39" t="s">
        <v>328</v>
      </c>
      <c r="E468" s="40">
        <v>30479</v>
      </c>
      <c r="F468" s="39" t="s">
        <v>1293</v>
      </c>
      <c r="H468" s="39" t="s">
        <v>11</v>
      </c>
    </row>
    <row r="469" spans="1:8" x14ac:dyDescent="0.3">
      <c r="A469" s="39" t="s">
        <v>44</v>
      </c>
      <c r="B469" s="135" t="s">
        <v>1294</v>
      </c>
      <c r="C469" s="41">
        <v>46167</v>
      </c>
      <c r="D469" s="39" t="s">
        <v>317</v>
      </c>
      <c r="E469" s="40">
        <v>28675</v>
      </c>
      <c r="F469" s="39" t="s">
        <v>1295</v>
      </c>
      <c r="H469" s="39" t="s">
        <v>8</v>
      </c>
    </row>
    <row r="470" spans="1:8" x14ac:dyDescent="0.3">
      <c r="A470" s="39" t="s">
        <v>44</v>
      </c>
      <c r="B470" s="135" t="s">
        <v>881</v>
      </c>
      <c r="C470" s="41">
        <v>46167</v>
      </c>
      <c r="D470" s="39" t="s">
        <v>326</v>
      </c>
      <c r="E470" s="40">
        <v>20450</v>
      </c>
      <c r="F470" s="39" t="s">
        <v>1296</v>
      </c>
      <c r="H470" s="39" t="s">
        <v>18</v>
      </c>
    </row>
    <row r="471" spans="1:8" x14ac:dyDescent="0.3">
      <c r="A471" s="39" t="s">
        <v>43</v>
      </c>
      <c r="B471" s="135" t="s">
        <v>1297</v>
      </c>
      <c r="C471" s="41">
        <v>46167</v>
      </c>
      <c r="D471" s="39" t="s">
        <v>328</v>
      </c>
      <c r="E471" s="40">
        <v>29104</v>
      </c>
      <c r="F471" s="39" t="s">
        <v>1298</v>
      </c>
      <c r="H471" s="39" t="s">
        <v>8</v>
      </c>
    </row>
    <row r="472" spans="1:8" x14ac:dyDescent="0.3">
      <c r="A472" s="39" t="s">
        <v>44</v>
      </c>
      <c r="B472" s="135" t="s">
        <v>1299</v>
      </c>
      <c r="C472" s="41">
        <v>46167</v>
      </c>
      <c r="D472" s="39" t="s">
        <v>328</v>
      </c>
      <c r="E472" s="40">
        <v>29104</v>
      </c>
      <c r="F472" s="39" t="s">
        <v>1298</v>
      </c>
      <c r="H472" s="39" t="s">
        <v>8</v>
      </c>
    </row>
    <row r="473" spans="1:8" x14ac:dyDescent="0.3">
      <c r="A473" s="39" t="s">
        <v>44</v>
      </c>
      <c r="B473" s="135">
        <v>155899</v>
      </c>
      <c r="C473" s="41">
        <v>46167</v>
      </c>
      <c r="D473" s="39" t="s">
        <v>328</v>
      </c>
      <c r="E473" s="40">
        <v>17963</v>
      </c>
      <c r="F473" s="39" t="s">
        <v>1300</v>
      </c>
      <c r="H473" s="39" t="s">
        <v>8</v>
      </c>
    </row>
    <row r="474" spans="1:8" x14ac:dyDescent="0.3">
      <c r="A474" s="39" t="s">
        <v>44</v>
      </c>
      <c r="B474" s="135">
        <v>156070</v>
      </c>
      <c r="C474" s="41">
        <v>46167</v>
      </c>
      <c r="D474" s="39" t="s">
        <v>328</v>
      </c>
      <c r="E474" s="40">
        <v>14374</v>
      </c>
      <c r="F474" s="39" t="s">
        <v>1301</v>
      </c>
      <c r="H474" s="39" t="s">
        <v>8</v>
      </c>
    </row>
    <row r="475" spans="1:8" x14ac:dyDescent="0.3">
      <c r="A475" s="39" t="s">
        <v>44</v>
      </c>
      <c r="B475" s="135" t="s">
        <v>1302</v>
      </c>
      <c r="C475" s="41">
        <v>46167</v>
      </c>
      <c r="D475" s="39" t="s">
        <v>339</v>
      </c>
      <c r="E475" s="40">
        <v>31328</v>
      </c>
      <c r="F475" s="39" t="s">
        <v>1303</v>
      </c>
      <c r="H475" s="39" t="s">
        <v>8</v>
      </c>
    </row>
    <row r="476" spans="1:8" x14ac:dyDescent="0.3">
      <c r="A476" s="39" t="s">
        <v>44</v>
      </c>
      <c r="B476" s="135" t="s">
        <v>1305</v>
      </c>
      <c r="C476" s="41">
        <v>46167</v>
      </c>
      <c r="D476" s="39" t="s">
        <v>326</v>
      </c>
      <c r="E476" s="40">
        <v>1802</v>
      </c>
      <c r="F476" s="39" t="s">
        <v>1304</v>
      </c>
      <c r="H476" s="39" t="s">
        <v>8</v>
      </c>
    </row>
    <row r="477" spans="1:8" x14ac:dyDescent="0.3">
      <c r="A477" s="39" t="s">
        <v>357</v>
      </c>
      <c r="B477" s="135" t="s">
        <v>935</v>
      </c>
      <c r="C477" s="41">
        <v>46167</v>
      </c>
      <c r="D477" s="39" t="s">
        <v>351</v>
      </c>
      <c r="E477" s="40">
        <v>13292</v>
      </c>
      <c r="F477" s="39" t="s">
        <v>1306</v>
      </c>
      <c r="H477" s="39" t="s">
        <v>28</v>
      </c>
    </row>
    <row r="478" spans="1:8" x14ac:dyDescent="0.3">
      <c r="A478" s="39" t="s">
        <v>357</v>
      </c>
      <c r="B478" s="135" t="s">
        <v>935</v>
      </c>
      <c r="C478" s="41">
        <v>46167</v>
      </c>
      <c r="D478" s="39" t="s">
        <v>351</v>
      </c>
      <c r="E478" s="40">
        <v>23901</v>
      </c>
      <c r="F478" s="39" t="s">
        <v>1307</v>
      </c>
      <c r="H478" s="39" t="s">
        <v>28</v>
      </c>
    </row>
    <row r="479" spans="1:8" x14ac:dyDescent="0.3">
      <c r="A479" s="39" t="s">
        <v>44</v>
      </c>
      <c r="B479" s="135">
        <v>31380</v>
      </c>
      <c r="C479" s="41">
        <v>46167</v>
      </c>
      <c r="D479" s="39" t="s">
        <v>316</v>
      </c>
      <c r="E479" s="40">
        <v>31380</v>
      </c>
      <c r="F479" s="39" t="s">
        <v>1308</v>
      </c>
      <c r="G479" s="39" t="s">
        <v>1310</v>
      </c>
      <c r="H479" s="39" t="s">
        <v>307</v>
      </c>
    </row>
    <row r="480" spans="1:8" x14ac:dyDescent="0.3">
      <c r="A480" s="39" t="s">
        <v>44</v>
      </c>
      <c r="B480" s="135">
        <v>31381</v>
      </c>
      <c r="C480" s="41">
        <v>46167</v>
      </c>
      <c r="D480" s="39" t="s">
        <v>221</v>
      </c>
      <c r="E480" s="40">
        <v>31381</v>
      </c>
      <c r="F480" s="39" t="s">
        <v>1148</v>
      </c>
      <c r="G480" s="39" t="s">
        <v>1309</v>
      </c>
      <c r="H480" s="39" t="s">
        <v>307</v>
      </c>
    </row>
    <row r="481" spans="1:8" x14ac:dyDescent="0.3">
      <c r="A481" s="39" t="s">
        <v>44</v>
      </c>
      <c r="B481" s="135">
        <v>144523</v>
      </c>
      <c r="C481" s="41">
        <v>46163</v>
      </c>
      <c r="D481" s="39" t="s">
        <v>328</v>
      </c>
      <c r="E481" s="40">
        <v>12725</v>
      </c>
      <c r="F481" s="39" t="s">
        <v>1098</v>
      </c>
      <c r="G481" s="39" t="s">
        <v>1097</v>
      </c>
      <c r="H481" s="39" t="s">
        <v>307</v>
      </c>
    </row>
    <row r="482" spans="1:8" x14ac:dyDescent="0.3">
      <c r="A482" s="39" t="s">
        <v>44</v>
      </c>
      <c r="B482" s="135">
        <v>31386</v>
      </c>
      <c r="C482" s="41">
        <v>46167</v>
      </c>
      <c r="D482" s="39" t="s">
        <v>318</v>
      </c>
      <c r="E482" s="40">
        <v>31386</v>
      </c>
      <c r="F482" s="39" t="s">
        <v>1313</v>
      </c>
      <c r="G482" s="39" t="s">
        <v>1314</v>
      </c>
      <c r="H482" s="39" t="s">
        <v>307</v>
      </c>
    </row>
    <row r="483" spans="1:8" x14ac:dyDescent="0.3">
      <c r="A483" s="39" t="s">
        <v>44</v>
      </c>
      <c r="B483" s="135" t="s">
        <v>1315</v>
      </c>
      <c r="C483" s="41">
        <v>46168</v>
      </c>
      <c r="D483" s="39" t="s">
        <v>326</v>
      </c>
      <c r="E483" s="40">
        <v>22218</v>
      </c>
      <c r="F483" s="39" t="s">
        <v>1316</v>
      </c>
      <c r="G483" s="39" t="s">
        <v>1317</v>
      </c>
      <c r="H483" s="39" t="s">
        <v>8</v>
      </c>
    </row>
    <row r="484" spans="1:8" x14ac:dyDescent="0.3">
      <c r="A484" s="39" t="s">
        <v>44</v>
      </c>
      <c r="B484" s="135">
        <v>10372605080851</v>
      </c>
      <c r="C484" s="41">
        <v>46168</v>
      </c>
      <c r="D484" s="39" t="s">
        <v>328</v>
      </c>
      <c r="E484" s="40">
        <v>21997</v>
      </c>
      <c r="F484" s="39" t="s">
        <v>1318</v>
      </c>
      <c r="H484" s="39" t="s">
        <v>15</v>
      </c>
    </row>
    <row r="485" spans="1:8" x14ac:dyDescent="0.3">
      <c r="A485" s="39" t="s">
        <v>357</v>
      </c>
      <c r="B485" s="135" t="s">
        <v>1345</v>
      </c>
      <c r="C485" s="41">
        <v>46168</v>
      </c>
      <c r="D485" s="39" t="s">
        <v>313</v>
      </c>
      <c r="F485" s="39" t="s">
        <v>1320</v>
      </c>
      <c r="G485" s="39" t="s">
        <v>1319</v>
      </c>
      <c r="H485" s="39" t="s">
        <v>307</v>
      </c>
    </row>
    <row r="486" spans="1:8" x14ac:dyDescent="0.3">
      <c r="A486" s="39" t="s">
        <v>44</v>
      </c>
      <c r="B486" s="135">
        <v>31387</v>
      </c>
      <c r="C486" s="41">
        <v>46168</v>
      </c>
      <c r="D486" s="39" t="s">
        <v>316</v>
      </c>
      <c r="E486" s="40">
        <v>31387</v>
      </c>
      <c r="F486" s="39" t="s">
        <v>1321</v>
      </c>
      <c r="G486" s="39" t="s">
        <v>1322</v>
      </c>
      <c r="H486" s="39" t="s">
        <v>307</v>
      </c>
    </row>
    <row r="487" spans="1:8" x14ac:dyDescent="0.3">
      <c r="A487" s="39" t="s">
        <v>357</v>
      </c>
      <c r="B487" s="135" t="s">
        <v>1323</v>
      </c>
      <c r="C487" s="41">
        <v>46168</v>
      </c>
      <c r="D487" s="39" t="s">
        <v>313</v>
      </c>
      <c r="F487" s="39" t="s">
        <v>1324</v>
      </c>
      <c r="G487" s="120" t="s">
        <v>1325</v>
      </c>
      <c r="H487" s="39" t="s">
        <v>307</v>
      </c>
    </row>
    <row r="488" spans="1:8" x14ac:dyDescent="0.3">
      <c r="A488" s="39" t="s">
        <v>44</v>
      </c>
      <c r="B488" s="135">
        <v>31388</v>
      </c>
      <c r="C488" s="41">
        <v>46168</v>
      </c>
      <c r="D488" s="39" t="s">
        <v>221</v>
      </c>
      <c r="E488" s="40">
        <v>31388</v>
      </c>
      <c r="F488" s="39" t="s">
        <v>1147</v>
      </c>
      <c r="G488" s="39" t="s">
        <v>1146</v>
      </c>
      <c r="H488" s="39" t="s">
        <v>307</v>
      </c>
    </row>
    <row r="489" spans="1:8" x14ac:dyDescent="0.3">
      <c r="A489" s="39" t="s">
        <v>44</v>
      </c>
      <c r="B489" s="135">
        <v>166339</v>
      </c>
      <c r="C489" s="41">
        <v>46168</v>
      </c>
      <c r="D489" s="39" t="s">
        <v>328</v>
      </c>
      <c r="E489" s="40">
        <v>11827</v>
      </c>
      <c r="F489" s="39" t="s">
        <v>1327</v>
      </c>
      <c r="G489" s="39" t="s">
        <v>1328</v>
      </c>
      <c r="H489" s="39" t="s">
        <v>8</v>
      </c>
    </row>
    <row r="490" spans="1:8" x14ac:dyDescent="0.3">
      <c r="A490" s="39" t="s">
        <v>44</v>
      </c>
      <c r="B490" s="135" t="s">
        <v>1329</v>
      </c>
      <c r="C490" s="41">
        <v>46168</v>
      </c>
      <c r="D490" s="39" t="s">
        <v>339</v>
      </c>
      <c r="E490" s="40">
        <v>11837</v>
      </c>
      <c r="F490" s="39" t="s">
        <v>1327</v>
      </c>
      <c r="G490" s="39" t="s">
        <v>1328</v>
      </c>
      <c r="H490" s="39" t="s">
        <v>8</v>
      </c>
    </row>
    <row r="491" spans="1:8" x14ac:dyDescent="0.3">
      <c r="A491" s="39" t="s">
        <v>44</v>
      </c>
      <c r="C491" s="41">
        <v>46168</v>
      </c>
      <c r="D491" s="39" t="s">
        <v>322</v>
      </c>
      <c r="E491" s="40">
        <v>7406</v>
      </c>
      <c r="F491" s="39" t="s">
        <v>1332</v>
      </c>
      <c r="G491" s="39" t="s">
        <v>1333</v>
      </c>
      <c r="H491" s="39" t="s">
        <v>8</v>
      </c>
    </row>
    <row r="492" spans="1:8" x14ac:dyDescent="0.3">
      <c r="A492" s="39" t="s">
        <v>357</v>
      </c>
      <c r="B492" s="135" t="s">
        <v>1336</v>
      </c>
      <c r="C492" s="41">
        <v>46168</v>
      </c>
      <c r="D492" s="39" t="s">
        <v>328</v>
      </c>
      <c r="F492" s="39" t="s">
        <v>1335</v>
      </c>
      <c r="G492" s="39" t="s">
        <v>1334</v>
      </c>
      <c r="H492" s="39" t="s">
        <v>307</v>
      </c>
    </row>
    <row r="493" spans="1:8" x14ac:dyDescent="0.3">
      <c r="A493" s="39" t="s">
        <v>357</v>
      </c>
      <c r="B493" s="135" t="s">
        <v>1336</v>
      </c>
      <c r="C493" s="41">
        <v>46168</v>
      </c>
      <c r="D493" s="39" t="s">
        <v>328</v>
      </c>
      <c r="F493" s="39" t="s">
        <v>1338</v>
      </c>
      <c r="G493" s="39" t="s">
        <v>1337</v>
      </c>
      <c r="H493" s="39" t="s">
        <v>307</v>
      </c>
    </row>
    <row r="494" spans="1:8" x14ac:dyDescent="0.3">
      <c r="A494" s="39" t="s">
        <v>357</v>
      </c>
      <c r="B494" s="135" t="s">
        <v>1345</v>
      </c>
      <c r="C494" s="41">
        <v>46168</v>
      </c>
      <c r="D494" s="39" t="s">
        <v>173</v>
      </c>
      <c r="F494" s="39" t="s">
        <v>1340</v>
      </c>
      <c r="G494" s="39" t="s">
        <v>1339</v>
      </c>
      <c r="H494" s="39" t="s">
        <v>307</v>
      </c>
    </row>
    <row r="495" spans="1:8" x14ac:dyDescent="0.3">
      <c r="A495" s="39" t="s">
        <v>357</v>
      </c>
      <c r="B495" s="135" t="s">
        <v>1336</v>
      </c>
      <c r="C495" s="41">
        <v>46168</v>
      </c>
      <c r="D495" s="39" t="s">
        <v>328</v>
      </c>
      <c r="F495" s="39" t="s">
        <v>1094</v>
      </c>
      <c r="G495" s="39" t="s">
        <v>1341</v>
      </c>
      <c r="H495" s="39" t="s">
        <v>307</v>
      </c>
    </row>
    <row r="496" spans="1:8" x14ac:dyDescent="0.3">
      <c r="A496" s="39" t="s">
        <v>357</v>
      </c>
      <c r="B496" s="135" t="s">
        <v>1336</v>
      </c>
      <c r="C496" s="41">
        <v>46169</v>
      </c>
      <c r="D496" s="39" t="s">
        <v>319</v>
      </c>
      <c r="F496" s="39" t="s">
        <v>1342</v>
      </c>
      <c r="G496" s="39" t="s">
        <v>1343</v>
      </c>
      <c r="H496" s="39" t="s">
        <v>307</v>
      </c>
    </row>
    <row r="497" spans="1:8" x14ac:dyDescent="0.3">
      <c r="A497" s="39" t="s">
        <v>357</v>
      </c>
      <c r="B497" s="135" t="s">
        <v>1336</v>
      </c>
      <c r="C497" s="41">
        <v>46169</v>
      </c>
      <c r="D497" s="39" t="s">
        <v>328</v>
      </c>
      <c r="F497" s="39" t="s">
        <v>1344</v>
      </c>
      <c r="G497" s="120" t="s">
        <v>1027</v>
      </c>
      <c r="H497" s="39" t="s">
        <v>307</v>
      </c>
    </row>
    <row r="498" spans="1:8" x14ac:dyDescent="0.3">
      <c r="A498" s="39" t="s">
        <v>44</v>
      </c>
      <c r="B498" s="135" t="s">
        <v>1347</v>
      </c>
      <c r="C498" s="41">
        <v>46169</v>
      </c>
      <c r="D498" s="39" t="s">
        <v>328</v>
      </c>
      <c r="E498" s="40">
        <v>8045</v>
      </c>
      <c r="F498" s="39" t="s">
        <v>1348</v>
      </c>
      <c r="H498" s="39" t="s">
        <v>8</v>
      </c>
    </row>
    <row r="499" spans="1:8" x14ac:dyDescent="0.3">
      <c r="A499" s="39" t="s">
        <v>44</v>
      </c>
      <c r="B499" s="135">
        <v>31396</v>
      </c>
      <c r="C499" s="41">
        <v>46169</v>
      </c>
      <c r="D499" s="39" t="s">
        <v>319</v>
      </c>
      <c r="E499" s="40">
        <v>31396</v>
      </c>
      <c r="F499" s="39" t="s">
        <v>1349</v>
      </c>
      <c r="G499" s="39" t="s">
        <v>1350</v>
      </c>
      <c r="H499" s="39" t="s">
        <v>307</v>
      </c>
    </row>
    <row r="500" spans="1:8" x14ac:dyDescent="0.3">
      <c r="A500" s="39" t="s">
        <v>357</v>
      </c>
      <c r="C500" s="41">
        <v>46169</v>
      </c>
      <c r="D500" s="39" t="s">
        <v>318</v>
      </c>
      <c r="F500" s="39" t="s">
        <v>1352</v>
      </c>
      <c r="G500" s="120" t="s">
        <v>1351</v>
      </c>
      <c r="H500" s="39" t="s">
        <v>307</v>
      </c>
    </row>
    <row r="501" spans="1:8" x14ac:dyDescent="0.3">
      <c r="A501" s="39" t="s">
        <v>44</v>
      </c>
      <c r="B501" s="135" t="s">
        <v>1353</v>
      </c>
      <c r="C501" s="41">
        <v>46169</v>
      </c>
      <c r="D501" s="39" t="s">
        <v>220</v>
      </c>
      <c r="E501" s="40">
        <v>26717</v>
      </c>
      <c r="F501" s="39" t="s">
        <v>1354</v>
      </c>
      <c r="G501" s="120" t="s">
        <v>1355</v>
      </c>
      <c r="H501" s="39" t="s">
        <v>307</v>
      </c>
    </row>
    <row r="502" spans="1:8" x14ac:dyDescent="0.3">
      <c r="A502" s="39" t="s">
        <v>357</v>
      </c>
      <c r="B502" s="135" t="s">
        <v>1358</v>
      </c>
      <c r="C502" s="41">
        <v>46169</v>
      </c>
      <c r="D502" s="39" t="s">
        <v>339</v>
      </c>
      <c r="F502" s="39" t="s">
        <v>1356</v>
      </c>
      <c r="G502" s="120" t="s">
        <v>1357</v>
      </c>
      <c r="H502" s="39" t="s">
        <v>307</v>
      </c>
    </row>
    <row r="503" spans="1:8" x14ac:dyDescent="0.3">
      <c r="A503" s="39" t="s">
        <v>357</v>
      </c>
      <c r="B503" s="135" t="s">
        <v>1360</v>
      </c>
      <c r="C503" s="41">
        <v>46170</v>
      </c>
      <c r="D503" s="39" t="s">
        <v>328</v>
      </c>
      <c r="F503" s="39" t="s">
        <v>1359</v>
      </c>
      <c r="G503" s="120" t="s">
        <v>1361</v>
      </c>
      <c r="H503" s="39" t="s">
        <v>9</v>
      </c>
    </row>
    <row r="504" spans="1:8" x14ac:dyDescent="0.3">
      <c r="A504" s="39" t="s">
        <v>44</v>
      </c>
      <c r="B504" s="135">
        <v>31397</v>
      </c>
      <c r="C504" s="41">
        <v>46170</v>
      </c>
      <c r="D504" s="39" t="s">
        <v>316</v>
      </c>
      <c r="E504" s="40">
        <v>31397</v>
      </c>
      <c r="F504" s="39" t="s">
        <v>1362</v>
      </c>
      <c r="G504" s="39" t="s">
        <v>1363</v>
      </c>
      <c r="H504" s="39" t="s">
        <v>307</v>
      </c>
    </row>
    <row r="505" spans="1:8" x14ac:dyDescent="0.3">
      <c r="A505" s="39" t="s">
        <v>44</v>
      </c>
      <c r="B505" s="135">
        <v>31398</v>
      </c>
      <c r="C505" s="41">
        <v>46170</v>
      </c>
      <c r="D505" s="39" t="s">
        <v>319</v>
      </c>
      <c r="E505" s="40">
        <v>31398</v>
      </c>
      <c r="F505" s="39" t="s">
        <v>1364</v>
      </c>
      <c r="G505" s="39" t="s">
        <v>1365</v>
      </c>
      <c r="H505" s="39" t="s">
        <v>307</v>
      </c>
    </row>
    <row r="506" spans="1:8" x14ac:dyDescent="0.3">
      <c r="A506" s="39" t="s">
        <v>44</v>
      </c>
      <c r="B506" s="135" t="s">
        <v>1366</v>
      </c>
      <c r="C506" s="41">
        <v>46170</v>
      </c>
      <c r="D506" s="39" t="s">
        <v>173</v>
      </c>
      <c r="E506" s="40">
        <v>26968</v>
      </c>
      <c r="F506" s="39" t="s">
        <v>1367</v>
      </c>
      <c r="G506" s="39" t="s">
        <v>1368</v>
      </c>
      <c r="H506" s="39" t="s">
        <v>307</v>
      </c>
    </row>
    <row r="507" spans="1:8" x14ac:dyDescent="0.3">
      <c r="A507" s="39" t="s">
        <v>44</v>
      </c>
      <c r="B507" s="135">
        <v>31399</v>
      </c>
      <c r="C507" s="41">
        <v>46170</v>
      </c>
      <c r="D507" s="39" t="s">
        <v>319</v>
      </c>
      <c r="E507" s="40">
        <v>31399</v>
      </c>
      <c r="F507" s="39" t="s">
        <v>1143</v>
      </c>
      <c r="G507" s="39" t="s">
        <v>1369</v>
      </c>
      <c r="H507" s="39" t="s">
        <v>307</v>
      </c>
    </row>
    <row r="508" spans="1:8" x14ac:dyDescent="0.3">
      <c r="A508" s="39" t="s">
        <v>44</v>
      </c>
      <c r="B508" s="135">
        <v>31400</v>
      </c>
      <c r="C508" s="41">
        <v>46170</v>
      </c>
      <c r="D508" s="39" t="s">
        <v>328</v>
      </c>
      <c r="E508" s="40">
        <v>31400</v>
      </c>
      <c r="F508" s="39" t="s">
        <v>1370</v>
      </c>
      <c r="G508" s="39" t="s">
        <v>1371</v>
      </c>
      <c r="H508" s="39" t="s">
        <v>307</v>
      </c>
    </row>
    <row r="509" spans="1:8" x14ac:dyDescent="0.3">
      <c r="A509" s="39" t="s">
        <v>44</v>
      </c>
      <c r="B509" s="135" t="s">
        <v>1374</v>
      </c>
      <c r="C509" s="41">
        <v>46170</v>
      </c>
      <c r="D509" s="39" t="s">
        <v>351</v>
      </c>
      <c r="E509" s="40">
        <v>38390</v>
      </c>
      <c r="F509" s="39" t="s">
        <v>1373</v>
      </c>
      <c r="G509" s="39" t="s">
        <v>1377</v>
      </c>
      <c r="H509" s="39" t="s">
        <v>29</v>
      </c>
    </row>
    <row r="510" spans="1:8" x14ac:dyDescent="0.3">
      <c r="A510" s="39" t="s">
        <v>357</v>
      </c>
      <c r="B510" s="135" t="s">
        <v>1346</v>
      </c>
      <c r="C510" s="41">
        <v>46170</v>
      </c>
      <c r="D510" s="39" t="s">
        <v>173</v>
      </c>
      <c r="F510" s="39" t="s">
        <v>1376</v>
      </c>
      <c r="G510" s="39" t="s">
        <v>1375</v>
      </c>
      <c r="H510" s="39" t="s">
        <v>307</v>
      </c>
    </row>
    <row r="511" spans="1:8" x14ac:dyDescent="0.3">
      <c r="A511" s="39" t="s">
        <v>357</v>
      </c>
      <c r="B511" s="140" t="s">
        <v>1336</v>
      </c>
      <c r="C511" s="127">
        <v>46170</v>
      </c>
      <c r="D511" s="128" t="s">
        <v>173</v>
      </c>
      <c r="E511" s="126"/>
      <c r="F511" s="128" t="s">
        <v>1379</v>
      </c>
      <c r="G511" s="128" t="s">
        <v>1378</v>
      </c>
      <c r="H511" s="128" t="s">
        <v>307</v>
      </c>
    </row>
    <row r="512" spans="1:8" x14ac:dyDescent="0.3">
      <c r="A512" s="39" t="s">
        <v>357</v>
      </c>
      <c r="B512" s="135" t="s">
        <v>1346</v>
      </c>
      <c r="C512" s="41">
        <v>46170</v>
      </c>
      <c r="D512" s="39" t="s">
        <v>173</v>
      </c>
      <c r="F512" s="39" t="s">
        <v>1381</v>
      </c>
      <c r="G512" s="39" t="s">
        <v>1380</v>
      </c>
      <c r="H512" s="39" t="s">
        <v>307</v>
      </c>
    </row>
    <row r="513" spans="1:8" x14ac:dyDescent="0.3">
      <c r="A513" s="39" t="s">
        <v>44</v>
      </c>
      <c r="B513" s="135" t="s">
        <v>1382</v>
      </c>
      <c r="C513" s="41">
        <v>46170</v>
      </c>
      <c r="D513" s="39" t="s">
        <v>328</v>
      </c>
      <c r="E513" s="40">
        <v>27460</v>
      </c>
      <c r="F513" s="39" t="s">
        <v>1383</v>
      </c>
      <c r="H513" s="39" t="s">
        <v>8</v>
      </c>
    </row>
    <row r="514" spans="1:8" x14ac:dyDescent="0.3">
      <c r="A514" s="39" t="s">
        <v>44</v>
      </c>
      <c r="B514" s="135" t="s">
        <v>1384</v>
      </c>
      <c r="C514" s="41">
        <v>46170</v>
      </c>
      <c r="D514" s="39" t="s">
        <v>328</v>
      </c>
      <c r="E514" s="40" t="s">
        <v>1385</v>
      </c>
      <c r="F514" s="39" t="s">
        <v>1386</v>
      </c>
      <c r="H514" s="39" t="s">
        <v>8</v>
      </c>
    </row>
    <row r="515" spans="1:8" x14ac:dyDescent="0.3">
      <c r="A515" s="39" t="s">
        <v>357</v>
      </c>
      <c r="B515" s="135" t="s">
        <v>1387</v>
      </c>
      <c r="C515" s="41">
        <v>46170</v>
      </c>
      <c r="D515" s="39" t="s">
        <v>328</v>
      </c>
      <c r="E515" s="40">
        <v>10609</v>
      </c>
      <c r="F515" s="39" t="s">
        <v>1388</v>
      </c>
      <c r="H515" s="39" t="s">
        <v>8</v>
      </c>
    </row>
    <row r="516" spans="1:8" x14ac:dyDescent="0.3">
      <c r="A516" s="39" t="s">
        <v>44</v>
      </c>
      <c r="B516" s="135">
        <v>26160975</v>
      </c>
      <c r="C516" s="41">
        <v>46170</v>
      </c>
      <c r="D516" s="39" t="s">
        <v>328</v>
      </c>
      <c r="E516" s="40">
        <v>29664</v>
      </c>
      <c r="F516" s="39" t="s">
        <v>1389</v>
      </c>
      <c r="H516" s="39" t="s">
        <v>8</v>
      </c>
    </row>
    <row r="517" spans="1:8" x14ac:dyDescent="0.3">
      <c r="A517" s="39" t="s">
        <v>44</v>
      </c>
      <c r="B517" s="135" t="s">
        <v>1390</v>
      </c>
      <c r="C517" s="41">
        <v>46170</v>
      </c>
      <c r="D517" s="39" t="s">
        <v>328</v>
      </c>
      <c r="E517" s="40">
        <v>30030</v>
      </c>
      <c r="F517" s="39" t="s">
        <v>1391</v>
      </c>
      <c r="H517" s="39" t="s">
        <v>8</v>
      </c>
    </row>
    <row r="518" spans="1:8" x14ac:dyDescent="0.3">
      <c r="A518" s="39" t="s">
        <v>43</v>
      </c>
      <c r="B518" s="135">
        <v>168264</v>
      </c>
      <c r="C518" s="41">
        <v>46170</v>
      </c>
      <c r="D518" s="39" t="s">
        <v>328</v>
      </c>
      <c r="E518" s="40">
        <v>30030</v>
      </c>
      <c r="F518" s="39" t="s">
        <v>1391</v>
      </c>
      <c r="H518" s="39" t="s">
        <v>8</v>
      </c>
    </row>
    <row r="519" spans="1:8" x14ac:dyDescent="0.3">
      <c r="A519" s="39" t="s">
        <v>44</v>
      </c>
      <c r="B519" s="135" t="s">
        <v>1392</v>
      </c>
      <c r="C519" s="41">
        <v>46170</v>
      </c>
      <c r="D519" s="39" t="s">
        <v>326</v>
      </c>
      <c r="E519" s="40">
        <v>28440</v>
      </c>
      <c r="F519" s="39" t="s">
        <v>1393</v>
      </c>
      <c r="H519" s="39" t="s">
        <v>8</v>
      </c>
    </row>
    <row r="520" spans="1:8" x14ac:dyDescent="0.3">
      <c r="A520" s="39" t="s">
        <v>44</v>
      </c>
      <c r="B520" s="135" t="s">
        <v>1394</v>
      </c>
      <c r="C520" s="41">
        <v>46170</v>
      </c>
      <c r="D520" s="39" t="s">
        <v>328</v>
      </c>
      <c r="E520" s="40">
        <v>20812</v>
      </c>
      <c r="F520" s="39" t="s">
        <v>1395</v>
      </c>
      <c r="H520" s="39" t="s">
        <v>8</v>
      </c>
    </row>
    <row r="521" spans="1:8" x14ac:dyDescent="0.3">
      <c r="A521" s="39" t="s">
        <v>357</v>
      </c>
      <c r="B521" s="135" t="s">
        <v>1396</v>
      </c>
      <c r="C521" s="41">
        <v>46170</v>
      </c>
      <c r="D521" s="39" t="s">
        <v>328</v>
      </c>
      <c r="E521" s="40">
        <v>21703</v>
      </c>
      <c r="F521" s="39" t="s">
        <v>1397</v>
      </c>
      <c r="H521" s="39" t="s">
        <v>8</v>
      </c>
    </row>
    <row r="522" spans="1:8" x14ac:dyDescent="0.3">
      <c r="A522" s="39" t="s">
        <v>44</v>
      </c>
      <c r="B522" s="135" t="s">
        <v>1398</v>
      </c>
      <c r="C522" s="41">
        <v>46170</v>
      </c>
      <c r="D522" s="39" t="s">
        <v>328</v>
      </c>
      <c r="E522" s="40">
        <v>30685</v>
      </c>
      <c r="F522" s="39" t="s">
        <v>1399</v>
      </c>
      <c r="H522" s="39" t="s">
        <v>8</v>
      </c>
    </row>
    <row r="523" spans="1:8" x14ac:dyDescent="0.3">
      <c r="A523" s="39" t="s">
        <v>357</v>
      </c>
      <c r="C523" s="41">
        <v>46171</v>
      </c>
      <c r="D523" s="39" t="s">
        <v>328</v>
      </c>
      <c r="F523" s="39" t="s">
        <v>1400</v>
      </c>
      <c r="G523" s="39" t="s">
        <v>1401</v>
      </c>
      <c r="H523" s="39" t="s">
        <v>307</v>
      </c>
    </row>
    <row r="524" spans="1:8" x14ac:dyDescent="0.3">
      <c r="A524" s="39" t="s">
        <v>44</v>
      </c>
      <c r="B524" s="135" t="s">
        <v>1403</v>
      </c>
      <c r="C524" s="41">
        <v>46171</v>
      </c>
      <c r="D524" s="39" t="s">
        <v>328</v>
      </c>
      <c r="E524" s="40">
        <v>10967</v>
      </c>
      <c r="F524" s="39" t="s">
        <v>1404</v>
      </c>
      <c r="H524" s="39" t="s">
        <v>8</v>
      </c>
    </row>
    <row r="525" spans="1:8" x14ac:dyDescent="0.3">
      <c r="A525" s="39" t="s">
        <v>44</v>
      </c>
      <c r="B525" s="135" t="s">
        <v>1405</v>
      </c>
      <c r="C525" s="41">
        <v>46171</v>
      </c>
      <c r="D525" s="39" t="s">
        <v>328</v>
      </c>
      <c r="E525" s="40">
        <v>21416</v>
      </c>
      <c r="F525" s="39" t="s">
        <v>1406</v>
      </c>
      <c r="H525" s="39" t="s">
        <v>11</v>
      </c>
    </row>
    <row r="526" spans="1:8" x14ac:dyDescent="0.3">
      <c r="A526" s="39" t="s">
        <v>44</v>
      </c>
      <c r="B526" s="135" t="s">
        <v>1407</v>
      </c>
      <c r="C526" s="41">
        <v>46171</v>
      </c>
      <c r="D526" s="39" t="s">
        <v>328</v>
      </c>
      <c r="E526" s="40">
        <v>9769</v>
      </c>
      <c r="F526" s="39" t="s">
        <v>1408</v>
      </c>
      <c r="H526" s="39" t="s">
        <v>18</v>
      </c>
    </row>
    <row r="527" spans="1:8" x14ac:dyDescent="0.3">
      <c r="A527" s="39" t="s">
        <v>44</v>
      </c>
      <c r="B527" s="135" t="s">
        <v>1409</v>
      </c>
      <c r="C527" s="41">
        <v>46171</v>
      </c>
      <c r="D527" s="39" t="s">
        <v>319</v>
      </c>
      <c r="E527" s="40">
        <v>27635</v>
      </c>
      <c r="F527" s="39" t="s">
        <v>1006</v>
      </c>
      <c r="G527" s="39" t="s">
        <v>1410</v>
      </c>
      <c r="H527" s="39" t="s">
        <v>8</v>
      </c>
    </row>
  </sheetData>
  <autoFilter ref="A1:H512" xr:uid="{7A35BC33-88AB-41D0-AC0F-83F1AAE09BA9}"/>
  <phoneticPr fontId="7" type="noConversion"/>
  <conditionalFormatting sqref="A33:A47">
    <cfRule type="containsText" dxfId="128" priority="28" operator="containsText" text="Pendência documental">
      <formula>NOT(ISERROR(SEARCH("Pendência documental",A33)))</formula>
    </cfRule>
    <cfRule type="containsText" dxfId="127" priority="23" operator="containsText" text="Atenção">
      <formula>NOT(ISERROR(SEARCH("Atenção",A33)))</formula>
    </cfRule>
    <cfRule type="containsText" dxfId="126" priority="24" operator="containsText" text="Aguarda">
      <formula>NOT(ISERROR(SEARCH("Aguarda",A33)))</formula>
    </cfRule>
    <cfRule type="containsText" dxfId="125" priority="25" operator="containsText" text="arquiv">
      <formula>NOT(ISERROR(SEARCH("arquiv",A33)))</formula>
    </cfRule>
    <cfRule type="containsText" dxfId="124" priority="26" operator="containsText" text="Indefer">
      <formula>NOT(ISERROR(SEARCH("Indefer",A33)))</formula>
    </cfRule>
    <cfRule type="containsText" dxfId="123" priority="27" operator="containsText" text="Finalizado">
      <formula>NOT(ISERROR(SEARCH("Finalizado",A33)))</formula>
    </cfRule>
  </conditionalFormatting>
  <conditionalFormatting sqref="A33:A120 A121:E122 A123:F123 A124:E170 C171:E171 A171:A172 A172:E341 A342 C342:D342 A343:E358 D359:E360 A359:C361 D361:F361 A362:E405 A406 C406:E406 A407:E414 A415 C415:E415 A416:E1048576">
    <cfRule type="containsText" dxfId="122" priority="22" operator="containsText" text="Correção">
      <formula>NOT(ISERROR(SEARCH("Correção",A33)))</formula>
    </cfRule>
  </conditionalFormatting>
  <conditionalFormatting sqref="A48:D48">
    <cfRule type="containsText" dxfId="121" priority="212" operator="containsText" text="Atenção">
      <formula>NOT(ISERROR(SEARCH("Atenção",A48)))</formula>
    </cfRule>
    <cfRule type="containsText" dxfId="120" priority="211" operator="containsText" text="Correção">
      <formula>NOT(ISERROR(SEARCH("Correção",A48)))</formula>
    </cfRule>
  </conditionalFormatting>
  <conditionalFormatting sqref="A70:D70">
    <cfRule type="containsText" dxfId="119" priority="149" operator="containsText" text="Atenção">
      <formula>NOT(ISERROR(SEARCH("Atenção",A70)))</formula>
    </cfRule>
    <cfRule type="containsText" dxfId="118" priority="148" operator="containsText" text="Correção">
      <formula>NOT(ISERROR(SEARCH("Correção",A70)))</formula>
    </cfRule>
  </conditionalFormatting>
  <conditionalFormatting sqref="A1:E4 H1:XFD341 A5 C5:E5 C89:E91 C92:F92 H343:XFD1048576">
    <cfRule type="containsText" dxfId="117" priority="221" operator="containsText" text="arquiv">
      <formula>NOT(ISERROR(SEARCH("arquiv",A1)))</formula>
    </cfRule>
    <cfRule type="containsText" dxfId="116" priority="222" operator="containsText" text="Indefer">
      <formula>NOT(ISERROR(SEARCH("Indefer",A1)))</formula>
    </cfRule>
    <cfRule type="containsText" dxfId="115" priority="223" operator="containsText" text="Finalizado">
      <formula>NOT(ISERROR(SEARCH("Finalizado",A1)))</formula>
    </cfRule>
    <cfRule type="containsText" dxfId="114" priority="224" operator="containsText" text="Pendência documental">
      <formula>NOT(ISERROR(SEARCH("Pendência documental",A1)))</formula>
    </cfRule>
    <cfRule type="containsText" dxfId="113" priority="220" operator="containsText" text="Aguarda">
      <formula>NOT(ISERROR(SEARCH("Aguarda",A1)))</formula>
    </cfRule>
    <cfRule type="containsText" dxfId="112" priority="219" operator="containsText" text="Atenção">
      <formula>NOT(ISERROR(SEARCH("Atenção",A1)))</formula>
    </cfRule>
    <cfRule type="containsText" dxfId="111" priority="218" operator="containsText" text="Correção">
      <formula>NOT(ISERROR(SEARCH("Correção",A1)))</formula>
    </cfRule>
  </conditionalFormatting>
  <conditionalFormatting sqref="A6:E32">
    <cfRule type="containsText" dxfId="110" priority="7" operator="containsText" text="Pendência documental">
      <formula>NOT(ISERROR(SEARCH("Pendência documental",A6)))</formula>
    </cfRule>
    <cfRule type="containsText" dxfId="109" priority="1" operator="containsText" text="Correção">
      <formula>NOT(ISERROR(SEARCH("Correção",A6)))</formula>
    </cfRule>
    <cfRule type="containsText" dxfId="108" priority="2" operator="containsText" text="Atenção">
      <formula>NOT(ISERROR(SEARCH("Atenção",A6)))</formula>
    </cfRule>
    <cfRule type="containsText" dxfId="107" priority="3" operator="containsText" text="Aguarda">
      <formula>NOT(ISERROR(SEARCH("Aguarda",A6)))</formula>
    </cfRule>
    <cfRule type="containsText" dxfId="106" priority="4" operator="containsText" text="arquiv">
      <formula>NOT(ISERROR(SEARCH("arquiv",A6)))</formula>
    </cfRule>
    <cfRule type="containsText" dxfId="105" priority="5" operator="containsText" text="Indefer">
      <formula>NOT(ISERROR(SEARCH("Indefer",A6)))</formula>
    </cfRule>
    <cfRule type="containsText" dxfId="104" priority="6" operator="containsText" text="Finalizado">
      <formula>NOT(ISERROR(SEARCH("Finalizado",A6)))</formula>
    </cfRule>
  </conditionalFormatting>
  <conditionalFormatting sqref="B33:E43 A48:B48 E48:E49 A48:A120 D50:E51 B60:B62 A70:B70 E70:E71 B71:B73 B94:B97 A121:E122 A123:F123 A124:E170 C171:E171 A171:A172 A172:E341 A342 C342:D342 A343:E358 D359:E360 A359:C361 D361:F361 A362:E405 A406 C406:E406 A407:E414 A415 C415:E415 A416:E1048576">
    <cfRule type="containsText" dxfId="103" priority="419" operator="containsText" text="arquiv">
      <formula>NOT(ISERROR(SEARCH("arquiv",A33)))</formula>
    </cfRule>
    <cfRule type="containsText" dxfId="102" priority="418" operator="containsText" text="Aguarda">
      <formula>NOT(ISERROR(SEARCH("Aguarda",A33)))</formula>
    </cfRule>
    <cfRule type="containsText" dxfId="101" priority="420" operator="containsText" text="Indefer">
      <formula>NOT(ISERROR(SEARCH("Indefer",A33)))</formula>
    </cfRule>
    <cfRule type="containsText" dxfId="100" priority="421" operator="containsText" text="Finalizado">
      <formula>NOT(ISERROR(SEARCH("Finalizado",A33)))</formula>
    </cfRule>
    <cfRule type="containsText" dxfId="99" priority="423" operator="containsText" text="Pendência documental">
      <formula>NOT(ISERROR(SEARCH("Pendência documental",A33)))</formula>
    </cfRule>
  </conditionalFormatting>
  <conditionalFormatting sqref="B33:E43 E48:E49 D50:E51 B60:B62 E70:E71 B71:B73 B94:B97 A48:A120 A121:E122 A123:F123 A124:E170 C171:E171 A171:A172 A172:E341 A342 C342:D342 A343:E358 D359:E360 A359:C361 D361:F361 A362:E405 A406 C406:E406 A407:E414 A415 C415:E415 A416:E1048576">
    <cfRule type="containsText" dxfId="98" priority="417" operator="containsText" text="Atenção">
      <formula>NOT(ISERROR(SEARCH("Atenção",A33)))</formula>
    </cfRule>
  </conditionalFormatting>
  <conditionalFormatting sqref="B33:E43 E48:E49 D50:E51 B60:B62 E70:E71 B71:B73 B94:B97">
    <cfRule type="containsText" dxfId="97" priority="416" operator="containsText" text="Correção">
      <formula>NOT(ISERROR(SEARCH("Correção",B33)))</formula>
    </cfRule>
  </conditionalFormatting>
  <conditionalFormatting sqref="B84:E84">
    <cfRule type="containsText" dxfId="96" priority="133" operator="containsText" text="Pendência documental">
      <formula>NOT(ISERROR(SEARCH("Pendência documental",B84)))</formula>
    </cfRule>
    <cfRule type="containsText" dxfId="95" priority="129" operator="containsText" text="Aguarda">
      <formula>NOT(ISERROR(SEARCH("Aguarda",B84)))</formula>
    </cfRule>
    <cfRule type="containsText" dxfId="94" priority="130" operator="containsText" text="arquiv">
      <formula>NOT(ISERROR(SEARCH("arquiv",B84)))</formula>
    </cfRule>
    <cfRule type="containsText" dxfId="93" priority="131" operator="containsText" text="Indefer">
      <formula>NOT(ISERROR(SEARCH("Indefer",B84)))</formula>
    </cfRule>
    <cfRule type="containsText" dxfId="92" priority="132" operator="containsText" text="Finalizado">
      <formula>NOT(ISERROR(SEARCH("Finalizado",B84)))</formula>
    </cfRule>
    <cfRule type="containsText" dxfId="91" priority="127" operator="containsText" text="Correção">
      <formula>NOT(ISERROR(SEARCH("Correção",B84)))</formula>
    </cfRule>
    <cfRule type="containsText" dxfId="90" priority="128" operator="containsText" text="Atenção">
      <formula>NOT(ISERROR(SEARCH("Atenção",B84)))</formula>
    </cfRule>
  </conditionalFormatting>
  <conditionalFormatting sqref="B88:E88">
    <cfRule type="containsText" dxfId="89" priority="114" operator="containsText" text="Atenção">
      <formula>NOT(ISERROR(SEARCH("Atenção",B88)))</formula>
    </cfRule>
    <cfRule type="containsText" dxfId="88" priority="115" operator="containsText" text="Aguarda">
      <formula>NOT(ISERROR(SEARCH("Aguarda",B88)))</formula>
    </cfRule>
    <cfRule type="containsText" dxfId="87" priority="116" operator="containsText" text="arquiv">
      <formula>NOT(ISERROR(SEARCH("arquiv",B88)))</formula>
    </cfRule>
    <cfRule type="containsText" dxfId="86" priority="117" operator="containsText" text="Indefer">
      <formula>NOT(ISERROR(SEARCH("Indefer",B88)))</formula>
    </cfRule>
    <cfRule type="containsText" dxfId="85" priority="118" operator="containsText" text="Finalizado">
      <formula>NOT(ISERROR(SEARCH("Finalizado",B88)))</formula>
    </cfRule>
    <cfRule type="containsText" dxfId="84" priority="119" operator="containsText" text="Pendência documental">
      <formula>NOT(ISERROR(SEARCH("Pendência documental",B88)))</formula>
    </cfRule>
    <cfRule type="containsText" dxfId="83" priority="113" operator="containsText" text="Correção">
      <formula>NOT(ISERROR(SEARCH("Correção",B88)))</formula>
    </cfRule>
  </conditionalFormatting>
  <conditionalFormatting sqref="B99:E120">
    <cfRule type="containsText" dxfId="82" priority="29" operator="containsText" text="Correção">
      <formula>NOT(ISERROR(SEARCH("Correção",B99)))</formula>
    </cfRule>
    <cfRule type="containsText" dxfId="81" priority="31" operator="containsText" text="Aguarda">
      <formula>NOT(ISERROR(SEARCH("Aguarda",B99)))</formula>
    </cfRule>
    <cfRule type="containsText" dxfId="80" priority="32" operator="containsText" text="arquiv">
      <formula>NOT(ISERROR(SEARCH("arquiv",B99)))</formula>
    </cfRule>
    <cfRule type="containsText" dxfId="79" priority="33" operator="containsText" text="Indefer">
      <formula>NOT(ISERROR(SEARCH("Indefer",B99)))</formula>
    </cfRule>
    <cfRule type="containsText" dxfId="78" priority="34" operator="containsText" text="Finalizado">
      <formula>NOT(ISERROR(SEARCH("Finalizado",B99)))</formula>
    </cfRule>
    <cfRule type="containsText" dxfId="77" priority="35" operator="containsText" text="Pendência documental">
      <formula>NOT(ISERROR(SEARCH("Pendência documental",B99)))</formula>
    </cfRule>
    <cfRule type="containsText" dxfId="76" priority="30" operator="containsText" text="Atenção">
      <formula>NOT(ISERROR(SEARCH("Atenção",B99)))</formula>
    </cfRule>
  </conditionalFormatting>
  <conditionalFormatting sqref="C49:C51">
    <cfRule type="containsText" dxfId="75" priority="206" operator="containsText" text="Aguarda">
      <formula>NOT(ISERROR(SEARCH("Aguarda",C49)))</formula>
    </cfRule>
    <cfRule type="containsText" dxfId="74" priority="210" operator="containsText" text="Pendência documental">
      <formula>NOT(ISERROR(SEARCH("Pendência documental",C49)))</formula>
    </cfRule>
    <cfRule type="containsText" dxfId="73" priority="209" operator="containsText" text="Finalizado">
      <formula>NOT(ISERROR(SEARCH("Finalizado",C49)))</formula>
    </cfRule>
    <cfRule type="containsText" dxfId="72" priority="208" operator="containsText" text="Indefer">
      <formula>NOT(ISERROR(SEARCH("Indefer",C49)))</formula>
    </cfRule>
    <cfRule type="containsText" dxfId="71" priority="207" operator="containsText" text="arquiv">
      <formula>NOT(ISERROR(SEARCH("arquiv",C49)))</formula>
    </cfRule>
    <cfRule type="containsText" dxfId="70" priority="204" operator="containsText" text="Correção">
      <formula>NOT(ISERROR(SEARCH("Correção",C49)))</formula>
    </cfRule>
    <cfRule type="containsText" dxfId="69" priority="205" operator="containsText" text="Atenção">
      <formula>NOT(ISERROR(SEARCH("Atenção",C49)))</formula>
    </cfRule>
  </conditionalFormatting>
  <conditionalFormatting sqref="C48:D48">
    <cfRule type="containsText" dxfId="68" priority="215" operator="containsText" text="Indefer">
      <formula>NOT(ISERROR(SEARCH("Indefer",C48)))</formula>
    </cfRule>
    <cfRule type="containsText" dxfId="67" priority="214" operator="containsText" text="arquiv">
      <formula>NOT(ISERROR(SEARCH("arquiv",C48)))</formula>
    </cfRule>
    <cfRule type="containsText" dxfId="66" priority="213" operator="containsText" text="Aguarda">
      <formula>NOT(ISERROR(SEARCH("Aguarda",C48)))</formula>
    </cfRule>
    <cfRule type="containsText" dxfId="65" priority="216" operator="containsText" text="Finalizado">
      <formula>NOT(ISERROR(SEARCH("Finalizado",C48)))</formula>
    </cfRule>
    <cfRule type="containsText" dxfId="64" priority="217" operator="containsText" text="Pendência documental">
      <formula>NOT(ISERROR(SEARCH("Pendência documental",C48)))</formula>
    </cfRule>
  </conditionalFormatting>
  <conditionalFormatting sqref="C70:D70">
    <cfRule type="containsText" dxfId="63" priority="154" operator="containsText" text="Pendência documental">
      <formula>NOT(ISERROR(SEARCH("Pendência documental",C70)))</formula>
    </cfRule>
    <cfRule type="containsText" dxfId="62" priority="150" operator="containsText" text="Aguarda">
      <formula>NOT(ISERROR(SEARCH("Aguarda",C70)))</formula>
    </cfRule>
    <cfRule type="containsText" dxfId="61" priority="151" operator="containsText" text="arquiv">
      <formula>NOT(ISERROR(SEARCH("arquiv",C70)))</formula>
    </cfRule>
    <cfRule type="containsText" dxfId="60" priority="152" operator="containsText" text="Indefer">
      <formula>NOT(ISERROR(SEARCH("Indefer",C70)))</formula>
    </cfRule>
    <cfRule type="containsText" dxfId="59" priority="153" operator="containsText" text="Finalizado">
      <formula>NOT(ISERROR(SEARCH("Finalizado",C70)))</formula>
    </cfRule>
  </conditionalFormatting>
  <conditionalFormatting sqref="C71:D71">
    <cfRule type="containsText" dxfId="58" priority="146" operator="containsText" text="Finalizado">
      <formula>NOT(ISERROR(SEARCH("Finalizado",C71)))</formula>
    </cfRule>
    <cfRule type="containsText" dxfId="57" priority="145" operator="containsText" text="Indefer">
      <formula>NOT(ISERROR(SEARCH("Indefer",C71)))</formula>
    </cfRule>
    <cfRule type="containsText" dxfId="56" priority="141" operator="containsText" text="Correção">
      <formula>NOT(ISERROR(SEARCH("Correção",C71)))</formula>
    </cfRule>
    <cfRule type="containsText" dxfId="55" priority="142" operator="containsText" text="Atenção">
      <formula>NOT(ISERROR(SEARCH("Atenção",C71)))</formula>
    </cfRule>
    <cfRule type="containsText" dxfId="54" priority="143" operator="containsText" text="Aguarda">
      <formula>NOT(ISERROR(SEARCH("Aguarda",C71)))</formula>
    </cfRule>
    <cfRule type="containsText" dxfId="53" priority="144" operator="containsText" text="arquiv">
      <formula>NOT(ISERROR(SEARCH("arquiv",C71)))</formula>
    </cfRule>
    <cfRule type="containsText" dxfId="52" priority="147" operator="containsText" text="Pendência documental">
      <formula>NOT(ISERROR(SEARCH("Pendência documental",C71)))</formula>
    </cfRule>
  </conditionalFormatting>
  <conditionalFormatting sqref="C44:E47">
    <cfRule type="containsText" dxfId="51" priority="238" operator="containsText" text="Pendência documental">
      <formula>NOT(ISERROR(SEARCH("Pendência documental",C44)))</formula>
    </cfRule>
    <cfRule type="containsText" dxfId="50" priority="237" operator="containsText" text="Finalizado">
      <formula>NOT(ISERROR(SEARCH("Finalizado",C44)))</formula>
    </cfRule>
    <cfRule type="containsText" dxfId="49" priority="236" operator="containsText" text="Indefer">
      <formula>NOT(ISERROR(SEARCH("Indefer",C44)))</formula>
    </cfRule>
    <cfRule type="containsText" dxfId="48" priority="235" operator="containsText" text="arquiv">
      <formula>NOT(ISERROR(SEARCH("arquiv",C44)))</formula>
    </cfRule>
    <cfRule type="containsText" dxfId="47" priority="234" operator="containsText" text="Aguarda">
      <formula>NOT(ISERROR(SEARCH("Aguarda",C44)))</formula>
    </cfRule>
    <cfRule type="containsText" dxfId="46" priority="233" operator="containsText" text="Atenção">
      <formula>NOT(ISERROR(SEARCH("Atenção",C44)))</formula>
    </cfRule>
    <cfRule type="containsText" dxfId="45" priority="232" operator="containsText" text="Correção">
      <formula>NOT(ISERROR(SEARCH("Correção",C44)))</formula>
    </cfRule>
  </conditionalFormatting>
  <conditionalFormatting sqref="C52:E69">
    <cfRule type="containsText" dxfId="44" priority="157" operator="containsText" text="Aguarda">
      <formula>NOT(ISERROR(SEARCH("Aguarda",C52)))</formula>
    </cfRule>
    <cfRule type="containsText" dxfId="43" priority="161" operator="containsText" text="Pendência documental">
      <formula>NOT(ISERROR(SEARCH("Pendência documental",C52)))</formula>
    </cfRule>
    <cfRule type="containsText" dxfId="42" priority="160" operator="containsText" text="Finalizado">
      <formula>NOT(ISERROR(SEARCH("Finalizado",C52)))</formula>
    </cfRule>
    <cfRule type="containsText" dxfId="41" priority="155" operator="containsText" text="Correção">
      <formula>NOT(ISERROR(SEARCH("Correção",C52)))</formula>
    </cfRule>
    <cfRule type="containsText" dxfId="40" priority="156" operator="containsText" text="Atenção">
      <formula>NOT(ISERROR(SEARCH("Atenção",C52)))</formula>
    </cfRule>
    <cfRule type="containsText" dxfId="39" priority="158" operator="containsText" text="arquiv">
      <formula>NOT(ISERROR(SEARCH("arquiv",C52)))</formula>
    </cfRule>
    <cfRule type="containsText" dxfId="38" priority="159" operator="containsText" text="Indefer">
      <formula>NOT(ISERROR(SEARCH("Indefer",C52)))</formula>
    </cfRule>
  </conditionalFormatting>
  <conditionalFormatting sqref="C72:E83">
    <cfRule type="containsText" dxfId="37" priority="136" operator="containsText" text="Aguarda">
      <formula>NOT(ISERROR(SEARCH("Aguarda",C72)))</formula>
    </cfRule>
    <cfRule type="containsText" dxfId="36" priority="140" operator="containsText" text="Pendência documental">
      <formula>NOT(ISERROR(SEARCH("Pendência documental",C72)))</formula>
    </cfRule>
    <cfRule type="containsText" dxfId="35" priority="139" operator="containsText" text="Finalizado">
      <formula>NOT(ISERROR(SEARCH("Finalizado",C72)))</formula>
    </cfRule>
    <cfRule type="containsText" dxfId="34" priority="138" operator="containsText" text="Indefer">
      <formula>NOT(ISERROR(SEARCH("Indefer",C72)))</formula>
    </cfRule>
    <cfRule type="containsText" dxfId="33" priority="137" operator="containsText" text="arquiv">
      <formula>NOT(ISERROR(SEARCH("arquiv",C72)))</formula>
    </cfRule>
    <cfRule type="containsText" dxfId="32" priority="135" operator="containsText" text="Atenção">
      <formula>NOT(ISERROR(SEARCH("Atenção",C72)))</formula>
    </cfRule>
    <cfRule type="containsText" dxfId="31" priority="134" operator="containsText" text="Correção">
      <formula>NOT(ISERROR(SEARCH("Correção",C72)))</formula>
    </cfRule>
  </conditionalFormatting>
  <conditionalFormatting sqref="C85:E87">
    <cfRule type="containsText" dxfId="30" priority="120" operator="containsText" text="Correção">
      <formula>NOT(ISERROR(SEARCH("Correção",C85)))</formula>
    </cfRule>
    <cfRule type="containsText" dxfId="29" priority="122" operator="containsText" text="Aguarda">
      <formula>NOT(ISERROR(SEARCH("Aguarda",C85)))</formula>
    </cfRule>
    <cfRule type="containsText" dxfId="28" priority="123" operator="containsText" text="arquiv">
      <formula>NOT(ISERROR(SEARCH("arquiv",C85)))</formula>
    </cfRule>
    <cfRule type="containsText" dxfId="27" priority="121" operator="containsText" text="Atenção">
      <formula>NOT(ISERROR(SEARCH("Atenção",C85)))</formula>
    </cfRule>
    <cfRule type="containsText" dxfId="26" priority="126" operator="containsText" text="Pendência documental">
      <formula>NOT(ISERROR(SEARCH("Pendência documental",C85)))</formula>
    </cfRule>
    <cfRule type="containsText" dxfId="25" priority="125" operator="containsText" text="Finalizado">
      <formula>NOT(ISERROR(SEARCH("Finalizado",C85)))</formula>
    </cfRule>
    <cfRule type="containsText" dxfId="24" priority="124" operator="containsText" text="Indefer">
      <formula>NOT(ISERROR(SEARCH("Indefer",C85)))</formula>
    </cfRule>
  </conditionalFormatting>
  <conditionalFormatting sqref="C93:E98">
    <cfRule type="containsText" dxfId="23" priority="65" operator="containsText" text="Atenção">
      <formula>NOT(ISERROR(SEARCH("Atenção",C93)))</formula>
    </cfRule>
    <cfRule type="containsText" dxfId="22" priority="66" operator="containsText" text="Aguarda">
      <formula>NOT(ISERROR(SEARCH("Aguarda",C93)))</formula>
    </cfRule>
    <cfRule type="containsText" dxfId="21" priority="67" operator="containsText" text="arquiv">
      <formula>NOT(ISERROR(SEARCH("arquiv",C93)))</formula>
    </cfRule>
    <cfRule type="containsText" dxfId="20" priority="69" operator="containsText" text="Finalizado">
      <formula>NOT(ISERROR(SEARCH("Finalizado",C93)))</formula>
    </cfRule>
    <cfRule type="containsText" dxfId="19" priority="70" operator="containsText" text="Pendência documental">
      <formula>NOT(ISERROR(SEARCH("Pendência documental",C93)))</formula>
    </cfRule>
    <cfRule type="containsText" dxfId="18" priority="64" operator="containsText" text="Correção">
      <formula>NOT(ISERROR(SEARCH("Correção",C93)))</formula>
    </cfRule>
    <cfRule type="containsText" dxfId="17" priority="68" operator="containsText" text="Indefer">
      <formula>NOT(ISERROR(SEARCH("Indefer",C93)))</formula>
    </cfRule>
  </conditionalFormatting>
  <conditionalFormatting sqref="D49">
    <cfRule type="containsText" dxfId="16" priority="200" operator="containsText" text="arquiv">
      <formula>NOT(ISERROR(SEARCH("arquiv",D49)))</formula>
    </cfRule>
    <cfRule type="containsText" dxfId="15" priority="201" operator="containsText" text="Indefer">
      <formula>NOT(ISERROR(SEARCH("Indefer",D49)))</formula>
    </cfRule>
    <cfRule type="containsText" dxfId="14" priority="202" operator="containsText" text="Finalizado">
      <formula>NOT(ISERROR(SEARCH("Finalizado",D49)))</formula>
    </cfRule>
    <cfRule type="containsText" dxfId="13" priority="203" operator="containsText" text="Pendência documental">
      <formula>NOT(ISERROR(SEARCH("Pendência documental",D49)))</formula>
    </cfRule>
    <cfRule type="containsText" dxfId="12" priority="197" operator="containsText" text="Correção">
      <formula>NOT(ISERROR(SEARCH("Correção",D49)))</formula>
    </cfRule>
    <cfRule type="containsText" dxfId="11" priority="198" operator="containsText" text="Atenção">
      <formula>NOT(ISERROR(SEARCH("Atenção",D49)))</formula>
    </cfRule>
    <cfRule type="containsText" dxfId="10" priority="199" operator="containsText" text="Aguarda">
      <formula>NOT(ISERROR(SEARCH("Aguarda",D49)))</formula>
    </cfRule>
  </conditionalFormatting>
  <conditionalFormatting sqref="G2:G31">
    <cfRule type="colorScale" priority="587">
      <colorScale>
        <cfvo type="min"/>
        <cfvo type="percentile" val="50"/>
        <cfvo type="max"/>
        <color rgb="FFF8696B"/>
        <color rgb="FFFFEB84"/>
        <color rgb="FF63BE7B"/>
      </colorScale>
    </cfRule>
  </conditionalFormatting>
  <conditionalFormatting sqref="G2:G264 G266:G341 G343:G499 G501:G1048576">
    <cfRule type="notContainsBlanks" dxfId="9" priority="239">
      <formula>LEN(TRIM(G2))&gt;0</formula>
    </cfRule>
    <cfRule type="containsText" dxfId="8" priority="240" operator="containsText" text="correção">
      <formula>NOT(ISERROR(SEARCH("correção",G2)))</formula>
    </cfRule>
    <cfRule type="cellIs" dxfId="7" priority="241" operator="equal">
      <formula>"correção"</formula>
    </cfRule>
    <cfRule type="containsText" dxfId="6" priority="242" operator="containsText" text="Flavia">
      <formula>NOT(ISERROR(SEARCH("Flavia",G2)))</formula>
    </cfRule>
  </conditionalFormatting>
  <conditionalFormatting sqref="G32:G43 G45:G264 G266:G341 G343:G499 G501:G1048576">
    <cfRule type="colorScale" priority="596">
      <colorScale>
        <cfvo type="min"/>
        <cfvo type="percentile" val="50"/>
        <cfvo type="max"/>
        <color rgb="FFF8696B"/>
        <color rgb="FFFFEB84"/>
        <color rgb="FF63BE7B"/>
      </colorScale>
    </cfRule>
  </conditionalFormatting>
  <conditionalFormatting sqref="G44">
    <cfRule type="colorScale" priority="243">
      <colorScale>
        <cfvo type="min"/>
        <cfvo type="percentile" val="50"/>
        <cfvo type="max"/>
        <color rgb="FFF8696B"/>
        <color rgb="FFFFEB84"/>
        <color rgb="FF63BE7B"/>
      </colorScale>
    </cfRule>
  </conditionalFormatting>
  <hyperlinks>
    <hyperlink ref="G3" r:id="rId1" xr:uid="{CDC14A9A-4DA8-4170-BB44-24875193C6FB}"/>
    <hyperlink ref="G5" r:id="rId2" xr:uid="{5F8D3D88-372B-4F2F-9D8C-A500B9268095}"/>
    <hyperlink ref="G290" r:id="rId3" xr:uid="{47A2C180-AB66-4DF0-89FD-E9B2A4DB0FF5}"/>
    <hyperlink ref="G299" r:id="rId4" xr:uid="{ED24837B-B072-4490-BCDF-A0E66BBB3469}"/>
    <hyperlink ref="G303" r:id="rId5" xr:uid="{7D17891A-7B8D-4451-A951-B99F96F5264F}"/>
    <hyperlink ref="G359" r:id="rId6" xr:uid="{C1F7E26D-78C0-4C56-B660-78817B4184B0}"/>
    <hyperlink ref="G360" r:id="rId7" xr:uid="{D68EA78D-39BF-47D2-960E-C830FEA4E897}"/>
    <hyperlink ref="G368" r:id="rId8" xr:uid="{47A6DFCA-2ECE-47AF-B3A9-BF86939EDE07}"/>
    <hyperlink ref="G373" r:id="rId9" xr:uid="{1378038D-B93F-47C9-B416-029676EFAA3E}"/>
    <hyperlink ref="G289" r:id="rId10" xr:uid="{84A7B5CE-3BD1-4DFF-97B9-CC569551C32B}"/>
    <hyperlink ref="G381" r:id="rId11" xr:uid="{B8C5E4BB-45C4-4A27-B5F9-362E0E13AD56}"/>
    <hyperlink ref="G390" r:id="rId12" xr:uid="{3D4046B1-7340-48DA-A886-8566F69D896B}"/>
    <hyperlink ref="G393" r:id="rId13" xr:uid="{0DF69A7E-8D41-4C50-8022-7589E126EF1E}"/>
    <hyperlink ref="G435" r:id="rId14" display="Fatima.ferralhi@outlook.com" xr:uid="{E451F6B6-8530-47B0-BD40-D9F15DD44F94}"/>
    <hyperlink ref="G455" r:id="rId15" xr:uid="{A139C40A-8FE0-4CF6-81FA-A1B0CC1B2A82}"/>
    <hyperlink ref="G487" r:id="rId16" xr:uid="{097FA054-63D8-403B-ABE2-CB0FF983E466}"/>
    <hyperlink ref="G383" r:id="rId17" xr:uid="{6E88FF32-AE34-4047-8555-F61ABEB65877}"/>
    <hyperlink ref="G497" r:id="rId18" xr:uid="{16EC58CB-959E-4B51-815E-C6A775D7CB7F}"/>
    <hyperlink ref="G500" r:id="rId19" display="mailto:seabra.aline.82@hotmail.com" xr:uid="{59C540CE-978C-497A-B691-5C3C03816A0E}"/>
    <hyperlink ref="G501" r:id="rId20" xr:uid="{A3E8A535-9253-4431-9EC3-6F89CB2D88E5}"/>
    <hyperlink ref="G502" r:id="rId21" xr:uid="{C2B4681B-A0CE-4854-A254-210F3790EA35}"/>
    <hyperlink ref="G503" r:id="rId22" xr:uid="{4F9A95CC-BF43-40C5-81BF-7AB3B6AD09F9}"/>
  </hyperlinks>
  <pageMargins left="0.25" right="0.25" top="0.75" bottom="0.75" header="0.3" footer="0.3"/>
  <pageSetup paperSize="9" scale="34" fitToHeight="0" orientation="landscape" r:id="rId23"/>
  <ignoredErrors>
    <ignoredError sqref="B193:B198 E199 B200:B206" numberStoredAsText="1"/>
  </ignoredErrors>
  <drawing r:id="rId24"/>
  <legacyDrawing r:id="rId25"/>
  <extLst>
    <ext xmlns:x14="http://schemas.microsoft.com/office/spreadsheetml/2009/9/main" uri="{CCE6A557-97BC-4b89-ADB6-D9C93CAAB3DF}">
      <x14:dataValidations xmlns:xm="http://schemas.microsoft.com/office/excel/2006/main" count="4">
        <x14:dataValidation type="list" allowBlank="1" showInputMessage="1" showErrorMessage="1" xr:uid="{EE9AEDA4-1BBE-419E-8CF2-9304D3F135C7}">
          <x14:formula1>
            <xm:f>'Base protocolos'!$A$2:$A$36</xm:f>
          </x14:formula1>
          <xm:sqref>H32:H43 H45:H341 H343:H491 H509:H691</xm:sqref>
        </x14:dataValidation>
        <x14:dataValidation type="list" allowBlank="1" showInputMessage="1" showErrorMessage="1" xr:uid="{FA9EB665-F937-4773-9C2E-07AFDBC8FE48}">
          <x14:formula1>
            <xm:f>'Base protocolos'!$E$2:$E$57</xm:f>
          </x14:formula1>
          <xm:sqref>D10:D12 D7:D8 D17:D43 D2:D4 D47:D48 D50:D51 F92 F123 F361 D53:D532 D534:D1048576</xm:sqref>
        </x14:dataValidation>
        <x14:dataValidation type="list" allowBlank="1" showInputMessage="1" showErrorMessage="1" xr:uid="{3CB22066-F172-457C-BA10-45310F1DA003}">
          <x14:formula1>
            <xm:f>'Base protocolos'!C$2:C$15</xm:f>
          </x14:formula1>
          <xm:sqref>A14 A29:A31 A314 A121:A310 A18 A23:A25 A10:A12 A316:A1173</xm:sqref>
        </x14:dataValidation>
        <x14:dataValidation type="list" allowBlank="1" showInputMessage="1" showErrorMessage="1" xr:uid="{FE875D70-3D4E-46AA-BED2-C42153A4A950}">
          <x14:formula1>
            <xm:f>'Base protocolos'!C$2:C$16</xm:f>
          </x14:formula1>
          <xm:sqref>A15:A17 A32:A120 A2:A7 A9 A13 A19:A22 A26:A28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DE60-2DB3-422D-AE77-BC6288B0EBF6}">
  <sheetPr codeName="Planilha1"/>
  <dimension ref="A1:XFC103"/>
  <sheetViews>
    <sheetView showFormulas="1" showGridLines="0" topLeftCell="A82" zoomScale="90" zoomScaleNormal="90" workbookViewId="0">
      <selection activeCell="D2" sqref="D2"/>
    </sheetView>
  </sheetViews>
  <sheetFormatPr defaultColWidth="0" defaultRowHeight="18" zeroHeight="1" x14ac:dyDescent="0.35"/>
  <cols>
    <col min="1" max="1" width="2.6640625" style="45" customWidth="1"/>
    <col min="2" max="2" width="2.88671875" style="58" customWidth="1"/>
    <col min="3" max="3" width="1" style="45" customWidth="1"/>
    <col min="4" max="4" width="200.6640625" style="54" customWidth="1"/>
    <col min="5" max="5" width="10.6640625" style="45" hidden="1" customWidth="1"/>
    <col min="6" max="16382" width="62.33203125" style="45" hidden="1"/>
    <col min="16383" max="16383" width="4.88671875" style="45" hidden="1" customWidth="1"/>
    <col min="16384" max="16384" width="21.44140625" style="45" hidden="1" customWidth="1"/>
  </cols>
  <sheetData>
    <row r="1" spans="2:4" ht="15" customHeight="1" x14ac:dyDescent="0.35">
      <c r="D1" s="109" t="s">
        <v>128</v>
      </c>
    </row>
    <row r="2" spans="2:4" ht="20.100000000000001" customHeight="1" x14ac:dyDescent="0.35">
      <c r="C2" s="47"/>
      <c r="D2" s="80" t="s">
        <v>121</v>
      </c>
    </row>
    <row r="3" spans="2:4" ht="5.0999999999999996" customHeight="1" x14ac:dyDescent="0.35"/>
    <row r="4" spans="2:4" s="46" customFormat="1" ht="18" customHeight="1" x14ac:dyDescent="0.3">
      <c r="B4" s="59"/>
      <c r="D4" s="81" t="str">
        <f>VLOOKUP($D$2,[1]Planilha1!$A$2:$O$18,2,0)</f>
        <v>Razão social.</v>
      </c>
    </row>
    <row r="5" spans="2:4" s="46" customFormat="1" ht="5.0999999999999996" customHeight="1" x14ac:dyDescent="0.3">
      <c r="B5" s="56"/>
      <c r="D5" s="81"/>
    </row>
    <row r="6" spans="2:4" s="46" customFormat="1" ht="18" customHeight="1" x14ac:dyDescent="0.3">
      <c r="B6" s="59"/>
      <c r="D6" s="81" t="str">
        <f>VLOOKUP($D$2,[1]Planilha1!$A$2:$O$18,3,0)</f>
        <v>Nome fantasia.</v>
      </c>
    </row>
    <row r="7" spans="2:4" s="46" customFormat="1" ht="5.0999999999999996" customHeight="1" x14ac:dyDescent="0.3">
      <c r="B7" s="56"/>
      <c r="D7" s="81"/>
    </row>
    <row r="8" spans="2:4" s="46" customFormat="1" ht="18" customHeight="1" x14ac:dyDescent="0.3">
      <c r="B8" s="59"/>
      <c r="D8" s="81" t="str">
        <f>VLOOKUP($D$2,[1]Planilha1!$A$2:$O$18,4,0)</f>
        <v>Dados de contato (endereço/telefone/e-mail).</v>
      </c>
    </row>
    <row r="9" spans="2:4" s="46" customFormat="1" ht="5.0999999999999996" customHeight="1" x14ac:dyDescent="0.3">
      <c r="B9" s="56"/>
      <c r="D9" s="81"/>
    </row>
    <row r="10" spans="2:4" s="46" customFormat="1" ht="18" customHeight="1" x14ac:dyDescent="0.3">
      <c r="B10" s="59"/>
      <c r="D10" s="81" t="str">
        <f>VLOOKUP($D$2,[1]Planilha1!$A$2:$O$18,5,0)</f>
        <v>Verificar se selecionou - alteração de horário de funcionamento.</v>
      </c>
    </row>
    <row r="11" spans="2:4" s="46" customFormat="1" ht="5.0999999999999996" customHeight="1" x14ac:dyDescent="0.3">
      <c r="B11" s="56"/>
      <c r="D11" s="81"/>
    </row>
    <row r="12" spans="2:4" s="46" customFormat="1" ht="18" customHeight="1" x14ac:dyDescent="0.3">
      <c r="B12" s="59"/>
      <c r="D12" s="81" t="str">
        <f>VLOOKUP($D$2,[1]Planilha1!$A$2:$O$18,6,0)</f>
        <v>Gerado pelo atual Diretor Técnico.</v>
      </c>
    </row>
    <row r="13" spans="2:4" s="46" customFormat="1" ht="5.0999999999999996" customHeight="1" x14ac:dyDescent="0.3">
      <c r="B13" s="56"/>
      <c r="D13" s="81"/>
    </row>
    <row r="14" spans="2:4" s="46" customFormat="1" ht="18" customHeight="1" x14ac:dyDescent="0.3">
      <c r="B14" s="59"/>
      <c r="D14" s="81" t="str">
        <f>VLOOKUP($D$2,[1]Planilha1!$A$2:$O$18,7,0)</f>
        <v>Emitido nos últimos 30 dias anterior ao protocolo.</v>
      </c>
    </row>
    <row r="15" spans="2:4" s="46" customFormat="1" ht="5.0999999999999996" customHeight="1" x14ac:dyDescent="0.3">
      <c r="B15" s="56"/>
      <c r="D15" s="81"/>
    </row>
    <row r="16" spans="2:4" s="46" customFormat="1" ht="18" customHeight="1" x14ac:dyDescent="0.3">
      <c r="B16" s="59"/>
      <c r="D16" s="81" t="str">
        <f>VLOOKUP($D$2,[1]Planilha1!$A$2:$O$18,8,0)</f>
        <v>Ramo de atividade igual ou alterado, se alterado, pedir alteração contratual com CNAE da atividade declarada.</v>
      </c>
    </row>
    <row r="17" spans="2:4" s="46" customFormat="1" ht="5.0999999999999996" customHeight="1" x14ac:dyDescent="0.3">
      <c r="B17" s="56"/>
      <c r="D17" s="81"/>
    </row>
    <row r="18" spans="2:4" s="46" customFormat="1" ht="18" customHeight="1" x14ac:dyDescent="0.3">
      <c r="B18" s="59"/>
      <c r="D18" s="81" t="str">
        <f>VLOOKUP($D$2,[1]Planilha1!$A$2:$O$18,9,0)</f>
        <v>Códigos de validação legíveis.</v>
      </c>
    </row>
    <row r="19" spans="2:4" s="46" customFormat="1" ht="5.0999999999999996" customHeight="1" x14ac:dyDescent="0.3">
      <c r="B19" s="56"/>
      <c r="D19" s="81"/>
    </row>
    <row r="20" spans="2:4" s="46" customFormat="1" ht="18" customHeight="1" x14ac:dyDescent="0.3">
      <c r="B20" s="59"/>
      <c r="D20" s="81" t="str">
        <f>VLOOKUP($D$2,[1]Planilha1!$A$2:$O$18,10,0)</f>
        <v>*</v>
      </c>
    </row>
    <row r="21" spans="2:4" s="46" customFormat="1" ht="5.0999999999999996" customHeight="1" x14ac:dyDescent="0.3">
      <c r="B21" s="56"/>
      <c r="D21" s="81"/>
    </row>
    <row r="22" spans="2:4" s="46" customFormat="1" ht="18" customHeight="1" x14ac:dyDescent="0.3">
      <c r="B22" s="59"/>
      <c r="D22" s="81" t="str">
        <f>VLOOKUP($D$2,[1]Planilha1!$A$2:$O$18,11,0)</f>
        <v>*</v>
      </c>
    </row>
    <row r="23" spans="2:4" s="46" customFormat="1" ht="5.0999999999999996" customHeight="1" x14ac:dyDescent="0.3">
      <c r="B23" s="56"/>
      <c r="D23" s="81"/>
    </row>
    <row r="24" spans="2:4" s="46" customFormat="1" ht="18" customHeight="1" x14ac:dyDescent="0.3">
      <c r="B24" s="59"/>
      <c r="D24" s="81" t="str">
        <f>VLOOKUP($D$2,[1]Planilha1!$A$2:$O$18,12,0)</f>
        <v>*</v>
      </c>
    </row>
    <row r="25" spans="2:4" s="46" customFormat="1" ht="5.0999999999999996" customHeight="1" x14ac:dyDescent="0.3">
      <c r="B25" s="56"/>
      <c r="D25" s="81"/>
    </row>
    <row r="26" spans="2:4" s="49" customFormat="1" ht="18" customHeight="1" x14ac:dyDescent="0.3">
      <c r="B26" s="59"/>
      <c r="D26" s="81" t="str">
        <f>VLOOKUP($D$2,[1]Planilha1!$A$2:$O$18,13,0)</f>
        <v>*</v>
      </c>
    </row>
    <row r="27" spans="2:4" s="46" customFormat="1" ht="5.0999999999999996" customHeight="1" x14ac:dyDescent="0.3">
      <c r="B27" s="56"/>
      <c r="D27" s="81"/>
    </row>
    <row r="28" spans="2:4" s="46" customFormat="1" ht="18" customHeight="1" x14ac:dyDescent="0.3">
      <c r="B28" s="59"/>
      <c r="D28" s="81" t="str">
        <f>VLOOKUP($D$2,[1]Planilha1!$A$2:$O$18,14,0)</f>
        <v>*</v>
      </c>
    </row>
    <row r="29" spans="2:4" s="46" customFormat="1" ht="5.0999999999999996" customHeight="1" x14ac:dyDescent="0.3">
      <c r="B29" s="56"/>
      <c r="D29" s="81"/>
    </row>
    <row r="30" spans="2:4" s="46" customFormat="1" ht="18" customHeight="1" x14ac:dyDescent="0.3">
      <c r="B30" s="59"/>
      <c r="D30" s="81" t="str">
        <f>VLOOKUP($D$2,[1]Planilha1!$A$2:$O$18,15,0)</f>
        <v>*</v>
      </c>
    </row>
    <row r="31" spans="2:4" s="46" customFormat="1" ht="5.0999999999999996" customHeight="1" x14ac:dyDescent="0.3">
      <c r="B31" s="56"/>
      <c r="D31" s="52"/>
    </row>
    <row r="32" spans="2:4" s="46" customFormat="1" ht="18" customHeight="1" x14ac:dyDescent="0.3">
      <c r="B32" s="56"/>
      <c r="D32" s="52"/>
    </row>
    <row r="33" spans="2:4" s="46" customFormat="1" ht="15" customHeight="1" x14ac:dyDescent="0.3">
      <c r="B33" s="56"/>
      <c r="D33" s="109" t="s">
        <v>129</v>
      </c>
    </row>
    <row r="34" spans="2:4" s="46" customFormat="1" ht="20.100000000000001" customHeight="1" x14ac:dyDescent="0.3">
      <c r="B34" s="56"/>
      <c r="D34" s="53" t="s">
        <v>150</v>
      </c>
    </row>
    <row r="35" spans="2:4" s="46" customFormat="1" ht="5.0999999999999996" customHeight="1" x14ac:dyDescent="0.3">
      <c r="B35" s="56"/>
      <c r="D35" s="52"/>
    </row>
    <row r="36" spans="2:4" s="46" customFormat="1" ht="18" customHeight="1" x14ac:dyDescent="0.3">
      <c r="B36" s="59"/>
      <c r="D36" s="81" t="str">
        <f>VLOOKUP($D$34,[1]Planilha1!$A$20:$L$31,2,0)</f>
        <v>Verificar se o profissional que está ingressando possui habilitação como Farmacêutico-Bioquímico opção Análises Clínicas e Toxicológicas ou é Farmacêutico Generalista (Habilidades Técnicas).</v>
      </c>
    </row>
    <row r="37" spans="2:4" s="46" customFormat="1" ht="5.0999999999999996" customHeight="1" x14ac:dyDescent="0.3">
      <c r="B37" s="56"/>
      <c r="D37" s="81"/>
    </row>
    <row r="38" spans="2:4" s="46" customFormat="1" ht="18" customHeight="1" x14ac:dyDescent="0.3">
      <c r="B38" s="59"/>
      <c r="D38" s="81" t="str">
        <f>VLOOKUP($D$34,[1]Planilha1!$A$20:$L$31,3,0)</f>
        <v>Não é necessário declarar horário.</v>
      </c>
    </row>
    <row r="39" spans="2:4" s="46" customFormat="1" ht="5.0999999999999996" customHeight="1" x14ac:dyDescent="0.3">
      <c r="B39" s="56"/>
      <c r="D39" s="83"/>
    </row>
    <row r="40" spans="2:4" s="46" customFormat="1" ht="18" customHeight="1" x14ac:dyDescent="0.3">
      <c r="B40" s="59"/>
      <c r="D40" s="81" t="str">
        <f>VLOOKUP($D$34,[1]Planilha1!$A$20:$L$31,4,0)</f>
        <v>Caso o profissional possua outra atividade que necessite declarar assistência e que conflite com o horário do estabelecimento, deverá declarar o seu horário de assistência.</v>
      </c>
    </row>
    <row r="41" spans="2:4" s="46" customFormat="1" ht="5.0999999999999996" customHeight="1" x14ac:dyDescent="0.3">
      <c r="B41" s="56"/>
      <c r="D41" s="81"/>
    </row>
    <row r="42" spans="2:4" s="46" customFormat="1" ht="18" customHeight="1" x14ac:dyDescent="0.3">
      <c r="B42" s="59"/>
      <c r="D42" s="81" t="str">
        <f>VLOOKUP($D$34,[1]Planilha1!$A$20:$L$31,5,0)</f>
        <v>Se é posto de coleta independente (matriz) deverá ter contrato com laboratório.</v>
      </c>
    </row>
    <row r="43" spans="2:4" s="46" customFormat="1" ht="5.0999999999999996" customHeight="1" x14ac:dyDescent="0.3">
      <c r="B43" s="56"/>
      <c r="D43" s="81"/>
    </row>
    <row r="44" spans="2:4" s="46" customFormat="1" ht="18" customHeight="1" x14ac:dyDescent="0.3">
      <c r="B44" s="59"/>
      <c r="D44" s="81" t="str">
        <f>VLOOKUP($D$34,[1]Planilha1!$A$20:$L$31,6,0)</f>
        <v>Posto de coleta matriz, deve ter status 38 - POSTO DE COLETA PRESTADOR DE SERVIÇOS e na observação o nome do laboratório.</v>
      </c>
    </row>
    <row r="45" spans="2:4" s="46" customFormat="1" ht="5.0999999999999996" customHeight="1" x14ac:dyDescent="0.3">
      <c r="B45" s="56"/>
      <c r="D45" s="81"/>
    </row>
    <row r="46" spans="2:4" s="46" customFormat="1" ht="18" customHeight="1" x14ac:dyDescent="0.3">
      <c r="B46" s="59"/>
      <c r="D46" s="81" t="str">
        <f>VLOOKUP($D$34,[1]Planilha1!$A$20:$L$31,7,0)</f>
        <v>*</v>
      </c>
    </row>
    <row r="47" spans="2:4" s="46" customFormat="1" ht="5.0999999999999996" customHeight="1" x14ac:dyDescent="0.3">
      <c r="B47" s="56"/>
      <c r="D47" s="81"/>
    </row>
    <row r="48" spans="2:4" s="46" customFormat="1" ht="18" customHeight="1" x14ac:dyDescent="0.3">
      <c r="B48" s="59"/>
      <c r="D48" s="81" t="str">
        <f>VLOOKUP($D$34,[1]Planilha1!$A$20:$L$31,8,0)</f>
        <v>*</v>
      </c>
    </row>
    <row r="49" spans="2:4" s="46" customFormat="1" ht="5.0999999999999996" customHeight="1" x14ac:dyDescent="0.3">
      <c r="B49" s="56"/>
      <c r="D49" s="81"/>
    </row>
    <row r="50" spans="2:4" s="46" customFormat="1" ht="18" customHeight="1" x14ac:dyDescent="0.3">
      <c r="B50" s="59"/>
      <c r="D50" s="81" t="str">
        <f>VLOOKUP($D$34,[1]Planilha1!$A$20:$L$31,9,0)</f>
        <v>*</v>
      </c>
    </row>
    <row r="51" spans="2:4" s="46" customFormat="1" ht="5.0999999999999996" customHeight="1" x14ac:dyDescent="0.3">
      <c r="B51" s="56"/>
      <c r="D51" s="81"/>
    </row>
    <row r="52" spans="2:4" s="46" customFormat="1" ht="18" customHeight="1" x14ac:dyDescent="0.3">
      <c r="B52" s="59"/>
      <c r="D52" s="81" t="str">
        <f>VLOOKUP($D$34,[1]Planilha1!$A$20:$L$31,10,0)</f>
        <v>*</v>
      </c>
    </row>
    <row r="53" spans="2:4" s="46" customFormat="1" ht="5.0999999999999996" customHeight="1" x14ac:dyDescent="0.3">
      <c r="B53" s="56"/>
      <c r="D53" s="81"/>
    </row>
    <row r="54" spans="2:4" s="46" customFormat="1" ht="18" customHeight="1" x14ac:dyDescent="0.3">
      <c r="B54" s="59"/>
      <c r="D54" s="81" t="str">
        <f>VLOOKUP($D$34,[1]Planilha1!$A$20:$L$31,11,0)</f>
        <v>*</v>
      </c>
    </row>
    <row r="55" spans="2:4" s="46" customFormat="1" ht="5.0999999999999996" customHeight="1" x14ac:dyDescent="0.3">
      <c r="B55" s="56"/>
      <c r="D55" s="81"/>
    </row>
    <row r="56" spans="2:4" s="46" customFormat="1" ht="18" customHeight="1" x14ac:dyDescent="0.3">
      <c r="B56" s="59"/>
      <c r="D56" s="81" t="str">
        <f>VLOOKUP($D$34,[1]Planilha1!$A$20:$L$31,12,0)</f>
        <v>*</v>
      </c>
    </row>
    <row r="57" spans="2:4" s="46" customFormat="1" ht="5.0999999999999996" customHeight="1" x14ac:dyDescent="0.3">
      <c r="B57" s="56"/>
      <c r="D57" s="81"/>
    </row>
    <row r="58" spans="2:4" s="46" customFormat="1" ht="18" customHeight="1" x14ac:dyDescent="0.3">
      <c r="B58" s="56"/>
      <c r="D58" s="81"/>
    </row>
    <row r="59" spans="2:4" s="46" customFormat="1" ht="15" customHeight="1" x14ac:dyDescent="0.3">
      <c r="B59" s="56"/>
      <c r="D59" s="109" t="s">
        <v>127</v>
      </c>
    </row>
    <row r="60" spans="2:4" s="46" customFormat="1" ht="20.100000000000001" customHeight="1" x14ac:dyDescent="0.3">
      <c r="B60" s="56"/>
      <c r="D60" s="53" t="s">
        <v>134</v>
      </c>
    </row>
    <row r="61" spans="2:4" s="46" customFormat="1" ht="5.0999999999999996" customHeight="1" x14ac:dyDescent="0.3">
      <c r="B61" s="56"/>
      <c r="D61" s="52"/>
    </row>
    <row r="62" spans="2:4" s="46" customFormat="1" ht="18" customHeight="1" x14ac:dyDescent="0.3">
      <c r="B62" s="59"/>
      <c r="D62" s="81" t="str">
        <f>VLOOKUP($D$60,[1]Planilha1!$A$33:$P$40,2,0)</f>
        <v>Pelo sistema PDF24, juntar os documentos.</v>
      </c>
    </row>
    <row r="63" spans="2:4" s="46" customFormat="1" ht="5.0999999999999996" customHeight="1" x14ac:dyDescent="0.3">
      <c r="B63" s="56"/>
      <c r="D63" s="81"/>
    </row>
    <row r="64" spans="2:4" s="46" customFormat="1" ht="18" customHeight="1" x14ac:dyDescent="0.3">
      <c r="B64" s="59"/>
      <c r="D64" s="81" t="str">
        <f>VLOOKUP($D$60,[1]Planilha1!$A$33:$P$40,3,0)</f>
        <v>Termo de Responsabilidade Técnica do Estabelecimento e  Protocolo em PDF, impressão do protocolo - 1 via.</v>
      </c>
    </row>
    <row r="65" spans="2:5" s="46" customFormat="1" ht="5.0999999999999996" customHeight="1" x14ac:dyDescent="0.3">
      <c r="B65" s="56"/>
      <c r="D65" s="81"/>
    </row>
    <row r="66" spans="2:5" s="46" customFormat="1" ht="18" customHeight="1" x14ac:dyDescent="0.3">
      <c r="B66" s="59"/>
      <c r="D66" s="81" t="str">
        <f>VLOOKUP($D$60,[1]Planilha1!$A$33:$P$40,4,0)</f>
        <v>Em caso de Registro, além dos documentos mencionados, devem ser anexados todos os demais documentos de registro, na seguinte ordem:</v>
      </c>
    </row>
    <row r="67" spans="2:5" s="46" customFormat="1" ht="5.0999999999999996" customHeight="1" x14ac:dyDescent="0.3">
      <c r="B67" s="56"/>
      <c r="D67" s="81"/>
    </row>
    <row r="68" spans="2:5" s="46" customFormat="1" ht="18" customHeight="1" x14ac:dyDescent="0.3">
      <c r="B68" s="59"/>
      <c r="D68" s="81" t="str">
        <f>VLOOKUP($D$60,[1]Planilha1!$A$33:$P$40,5,0)</f>
        <v>Protocolo &gt; Quadro de horários &gt; Contrato Social &gt; Cartão CNPJ &gt; Requerimento do estabelecimento &gt; Termo de compromisso &gt; Vínculo trabalhista &gt; Alvará, se houver</v>
      </c>
      <c r="E68" s="83"/>
    </row>
    <row r="69" spans="2:5" s="46" customFormat="1" ht="5.0999999999999996" customHeight="1" x14ac:dyDescent="0.3">
      <c r="B69" s="56"/>
      <c r="D69" s="81"/>
    </row>
    <row r="70" spans="2:5" s="46" customFormat="1" ht="18" customHeight="1" x14ac:dyDescent="0.3">
      <c r="B70" s="59"/>
      <c r="D70" s="81" t="str">
        <f>VLOOKUP($D$60,[1]Planilha1!$A$33:$P$40,6,0)</f>
        <v>&gt; Outros documentos, caso possua &gt; comprovante de pagamento, se houver.</v>
      </c>
    </row>
    <row r="71" spans="2:5" ht="5.0999999999999996" customHeight="1" x14ac:dyDescent="0.35">
      <c r="B71" s="56"/>
      <c r="D71" s="82"/>
    </row>
    <row r="72" spans="2:5" ht="18" customHeight="1" x14ac:dyDescent="0.35">
      <c r="B72" s="59"/>
      <c r="D72" s="81" t="str">
        <f>VLOOKUP($D$60,[1]Planilha1!$A$33:$P$40,7,0)</f>
        <v>PADRÕES NOME:</v>
      </c>
    </row>
    <row r="73" spans="2:5" ht="5.0999999999999996" customHeight="1" x14ac:dyDescent="0.35">
      <c r="B73" s="56"/>
      <c r="D73" s="82"/>
    </row>
    <row r="74" spans="2:5" ht="18" customHeight="1" x14ac:dyDescent="0.35">
      <c r="B74" s="59"/>
      <c r="D74" s="81" t="str">
        <f>VLOOKUP($D$60,[1]Planilha1!$A$33:$P$40,8,0)</f>
        <v>Ingresso_RT_Protocolo_xxx</v>
      </c>
    </row>
    <row r="75" spans="2:5" ht="5.0999999999999996" customHeight="1" x14ac:dyDescent="0.35">
      <c r="B75" s="56"/>
      <c r="D75" s="82"/>
    </row>
    <row r="76" spans="2:5" ht="18" customHeight="1" x14ac:dyDescent="0.35">
      <c r="B76" s="59"/>
      <c r="D76" s="81" t="str">
        <f>VLOOKUP($D$60,[1]Planilha1!$A$33:$P$40,9,0)</f>
        <v>Alteração_Horário_Protocolo_xxx</v>
      </c>
    </row>
    <row r="77" spans="2:5" ht="5.0999999999999996" customHeight="1" x14ac:dyDescent="0.35">
      <c r="B77" s="56"/>
      <c r="D77" s="82"/>
    </row>
    <row r="78" spans="2:5" ht="18" customHeight="1" x14ac:dyDescent="0.35">
      <c r="B78" s="59"/>
      <c r="D78" s="81" t="str">
        <f>VLOOKUP($D$60,[1]Planilha1!$A$33:$P$40,10,0)</f>
        <v>Alteração_Modalidade_Protocolo_xxx</v>
      </c>
    </row>
    <row r="79" spans="2:5" ht="5.0999999999999996" customHeight="1" x14ac:dyDescent="0.35">
      <c r="D79" s="82"/>
    </row>
    <row r="80" spans="2:5" ht="18" customHeight="1" x14ac:dyDescent="0.35">
      <c r="B80" s="59"/>
      <c r="D80" s="81" t="str">
        <f>VLOOKUP($D$60,[1]Planilha1!$A$33:$P$40,11,0)</f>
        <v>Registro_RT_Protocolo_xxx</v>
      </c>
    </row>
    <row r="81" spans="2:4" ht="5.0999999999999996" customHeight="1" x14ac:dyDescent="0.35">
      <c r="B81" s="56"/>
      <c r="D81" s="82"/>
    </row>
    <row r="82" spans="2:4" ht="18" customHeight="1" x14ac:dyDescent="0.35">
      <c r="B82" s="59"/>
      <c r="D82" s="81" t="str">
        <f>VLOOKUP($D$60,[1]Planilha1!$A$33:$P$40,12,0)</f>
        <v>Reabilitação_Registro_Protocolo_xxx</v>
      </c>
    </row>
    <row r="83" spans="2:4" ht="5.0999999999999996" customHeight="1" x14ac:dyDescent="0.35">
      <c r="B83" s="56"/>
      <c r="D83" s="82"/>
    </row>
    <row r="84" spans="2:4" ht="18" customHeight="1" x14ac:dyDescent="0.35">
      <c r="B84" s="59"/>
      <c r="D84" s="81" t="str">
        <f>VLOOKUP($D$60,[1]Planilha1!$A$33:$P$40,13,0)</f>
        <v>Metadados a serem preenchidos no GED:</v>
      </c>
    </row>
    <row r="85" spans="2:4" ht="5.0999999999999996" customHeight="1" x14ac:dyDescent="0.35">
      <c r="B85" s="56"/>
      <c r="D85" s="82"/>
    </row>
    <row r="86" spans="2:4" ht="18" customHeight="1" x14ac:dyDescent="0.35">
      <c r="B86" s="59"/>
      <c r="D86" s="81" t="str">
        <f>VLOOKUP($D$60,[1]Planilha1!$A$33:$P$40,14,0)</f>
        <v>Ano do documento.</v>
      </c>
    </row>
    <row r="87" spans="2:4" ht="5.0999999999999996" customHeight="1" x14ac:dyDescent="0.35">
      <c r="B87" s="56"/>
      <c r="D87" s="82"/>
    </row>
    <row r="88" spans="2:4" ht="18" customHeight="1" x14ac:dyDescent="0.35">
      <c r="B88" s="59"/>
      <c r="D88" s="81" t="str">
        <f>VLOOKUP($D$60,[1]Planilha1!$A$33:$P$40,15,0)</f>
        <v>Número do protocolo.</v>
      </c>
    </row>
    <row r="89" spans="2:4" ht="5.0999999999999996" customHeight="1" x14ac:dyDescent="0.35">
      <c r="D89" s="82"/>
    </row>
    <row r="90" spans="2:4" ht="18" customHeight="1" x14ac:dyDescent="0.35">
      <c r="B90" s="59"/>
      <c r="D90" s="81" t="str">
        <f>VLOOKUP($D$60,[1]Planilha1!$A$33:$P$40,16,0)</f>
        <v>PAE e PAP (poderão ser inseridos todos os PA de profissionais disponíveis no GED).</v>
      </c>
    </row>
    <row r="91" spans="2:4" ht="5.0999999999999996" customHeight="1" x14ac:dyDescent="0.35">
      <c r="B91" s="56"/>
      <c r="D91" s="82"/>
    </row>
    <row r="92" spans="2:4" ht="5.0999999999999996" customHeight="1" x14ac:dyDescent="0.35">
      <c r="B92" s="56"/>
      <c r="D92" s="82"/>
    </row>
    <row r="93" spans="2:4" ht="18" customHeight="1" x14ac:dyDescent="0.35">
      <c r="B93" s="56"/>
      <c r="D93" s="82"/>
    </row>
    <row r="94" spans="2:4" s="46" customFormat="1" ht="15" customHeight="1" x14ac:dyDescent="0.3">
      <c r="B94" s="56"/>
      <c r="D94" s="108" t="s">
        <v>230</v>
      </c>
    </row>
    <row r="95" spans="2:4" s="46" customFormat="1" ht="20.100000000000001" customHeight="1" x14ac:dyDescent="0.3">
      <c r="B95" s="56"/>
      <c r="D95" s="55" t="s">
        <v>178</v>
      </c>
    </row>
    <row r="96" spans="2:4" ht="18" customHeight="1" x14ac:dyDescent="0.35"/>
    <row r="97" spans="2:4" s="46" customFormat="1" ht="18" customHeight="1" x14ac:dyDescent="0.3">
      <c r="B97" s="56"/>
      <c r="D97" s="79" t="str">
        <f>VLOOKUP($D$95,[1]Planilha1!$A$42:$E$92,2,0)</f>
        <v>CLÍNICAS FARMACÊUTICAS</v>
      </c>
    </row>
    <row r="98" spans="2:4" s="46" customFormat="1" ht="18" customHeight="1" x14ac:dyDescent="0.3">
      <c r="B98" s="56"/>
      <c r="D98" s="52"/>
    </row>
    <row r="99" spans="2:4" s="46" customFormat="1" ht="18" customHeight="1" x14ac:dyDescent="0.3">
      <c r="B99" s="56"/>
      <c r="D99" s="79" t="str">
        <f>VLOOKUP($D$95,[1]Planilha1!$A$42:$E$92,3,0)</f>
        <v>NÃO HÁ PRAZO</v>
      </c>
    </row>
    <row r="100" spans="2:4" s="46" customFormat="1" ht="18" customHeight="1" x14ac:dyDescent="0.3">
      <c r="B100" s="56"/>
      <c r="D100" s="52"/>
    </row>
    <row r="101" spans="2:4" s="46" customFormat="1" ht="56.25" customHeight="1" x14ac:dyDescent="0.3">
      <c r="B101" s="56"/>
      <c r="D101" s="79" t="str">
        <f>VLOOKUP($D$95,[1]Planilha1!$A$42:$E$92,4,0)</f>
        <v>Não há exigência de carga horária mínima. O profissional pode optar por declarar ou não sua assistência; caso não a declare, deverá possuir disponibilidade para todo o horário de funcionamento.</v>
      </c>
    </row>
    <row r="102" spans="2:4" s="46" customFormat="1" ht="13.5" customHeight="1" x14ac:dyDescent="0.3">
      <c r="B102" s="56"/>
      <c r="D102" s="52"/>
    </row>
    <row r="103" spans="2:4" s="46" customFormat="1" ht="13.5" hidden="1" customHeight="1" x14ac:dyDescent="0.3">
      <c r="B103" s="56"/>
      <c r="D103" s="52"/>
    </row>
  </sheetData>
  <sheetProtection selectLockedCells="1"/>
  <conditionalFormatting sqref="B1:B1048576">
    <cfRule type="cellIs" dxfId="5" priority="1" operator="equal">
      <formula>"x"</formula>
    </cfRule>
    <cfRule type="cellIs" dxfId="4" priority="2" operator="equal">
      <formula>"OK"</formula>
    </cfRule>
  </conditionalFormatting>
  <dataValidations xWindow="1334" yWindow="469" count="1">
    <dataValidation type="list" allowBlank="1" showInputMessage="1" showErrorMessage="1" sqref="B1:B1048576" xr:uid="{366ECD92-8F36-4321-9248-7223988404FB}">
      <formula1>#REF!</formula1>
    </dataValidation>
  </dataValidations>
  <pageMargins left="0.511811024" right="0.511811024" top="0.78740157499999996" bottom="0.78740157499999996" header="0.31496062000000002" footer="0.31496062000000002"/>
  <pageSetup paperSize="9" scale="37" orientation="landscape" horizontalDpi="0" verticalDpi="0" r:id="rId1"/>
  <tableParts count="1">
    <tablePart r:id="rId2"/>
  </tableParts>
  <extLst>
    <ext xmlns:x14="http://schemas.microsoft.com/office/spreadsheetml/2009/9/main" uri="{CCE6A557-97BC-4b89-ADB6-D9C93CAAB3DF}">
      <x14:dataValidations xmlns:xm="http://schemas.microsoft.com/office/excel/2006/main" xWindow="1334" yWindow="469" count="4">
        <x14:dataValidation type="list" allowBlank="1" showInputMessage="1" showErrorMessage="1" prompt="ATENÇÃO.  Esta etapa apresenta informações sobre situações específicas que requerem maior atenção na realização do procedimento.   " xr:uid="{880769D1-DCBF-4B11-AADD-CF18D0ADC3D6}">
          <x14:formula1>
            <xm:f>listas!$A$21:$A$32</xm:f>
          </x14:formula1>
          <xm:sqref>D34</xm:sqref>
        </x14:dataValidation>
        <x14:dataValidation type="list" allowBlank="1" showInputMessage="1" showErrorMessage="1" prompt="Nesta etapa orientativa, você poderá consultar os detalhes sobre a documentação necessária para realizar procedimentos." xr:uid="{9DA9F331-F7F8-49ED-85F7-1EB03E89034F}">
          <x14:formula1>
            <xm:f>listas!$A$3:$A$19</xm:f>
          </x14:formula1>
          <xm:sqref>D2</xm:sqref>
        </x14:dataValidation>
        <x14:dataValidation type="list" allowBlank="1" showInputMessage="1" showErrorMessage="1" prompt="Nesta aba há informações sobre os detalhes de lançamentos no Sagicon e GED que deverão ser observados ao final da realização dos procedimentos." xr:uid="{32CFAC97-B855-483F-B044-25602DAA46C2}">
          <x14:formula1>
            <xm:f>listas!$A$34:$A$41</xm:f>
          </x14:formula1>
          <xm:sqref>D60</xm:sqref>
        </x14:dataValidation>
        <x14:dataValidation type="list" allowBlank="1" showInputMessage="1" showErrorMessage="1" prompt="Esta aba resume, os prazos e a carga horária necessária para cobertura da assistência técnica conforme o ramo de atividade empresarial. " xr:uid="{417D073A-6DA3-4744-8270-D4A9577CE395}">
          <x14:formula1>
            <xm:f>listas!$A$43:$A$93</xm:f>
          </x14:formula1>
          <xm:sqref>D95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8676-A466-4ACD-A617-37F6EB7EEBDE}">
  <sheetPr codeName="Planilha4"/>
  <dimension ref="A1:XFD19"/>
  <sheetViews>
    <sheetView showFormulas="1" showGridLines="0" topLeftCell="B2" workbookViewId="0">
      <selection activeCell="B5" sqref="B5"/>
    </sheetView>
  </sheetViews>
  <sheetFormatPr defaultColWidth="0" defaultRowHeight="14.4" zeroHeight="1" x14ac:dyDescent="0.3"/>
  <cols>
    <col min="1" max="1" width="3" customWidth="1"/>
    <col min="2" max="2" width="188.88671875" style="86" customWidth="1"/>
    <col min="3" max="3" width="9.109375" style="106" customWidth="1"/>
    <col min="4" max="16382" width="9.109375" hidden="1"/>
    <col min="16383" max="16383" width="2.6640625" hidden="1"/>
    <col min="16384" max="16384" width="5.33203125" hidden="1"/>
  </cols>
  <sheetData>
    <row r="1" spans="1:3 16384:16384" hidden="1" x14ac:dyDescent="0.3">
      <c r="B1"/>
      <c r="C1"/>
    </row>
    <row r="2" spans="1:3 16384:16384" ht="24.75" customHeight="1" x14ac:dyDescent="0.3">
      <c r="A2" s="106"/>
      <c r="B2" s="57" t="s">
        <v>72</v>
      </c>
      <c r="XFD2" s="106"/>
    </row>
    <row r="3" spans="1:3 16384:16384" ht="23.4" x14ac:dyDescent="0.45">
      <c r="A3" s="106"/>
      <c r="B3" s="107" t="s">
        <v>109</v>
      </c>
      <c r="XFD3" s="106"/>
    </row>
    <row r="4" spans="1:3 16384:16384" ht="15" thickBot="1" x14ac:dyDescent="0.35">
      <c r="A4" s="106"/>
      <c r="B4" s="105" t="s">
        <v>114</v>
      </c>
      <c r="XFD4" s="106"/>
    </row>
    <row r="5" spans="1:3 16384:16384" ht="297" customHeight="1" thickBot="1" x14ac:dyDescent="0.35">
      <c r="A5" s="106"/>
      <c r="B5" s="37" t="str">
        <f>VLOOKUP(B2,[2]Planilha1!$A$1:$B$46,2,0)</f>
        <v>Documentação incorreta ou incompleta.
Enviar/anexar no prazo de 01 dia útil acessando a tela inicial do CRF/PR em Casa, no atalho dos menus mais utilizados, em Protocolos, no ícone de "Protocolos Aguardando Resposta":
Alertamos que documentos enviados errados ou não enviados dentro do prazo estará sujeito ao indeferimento com necessidade de reinício do procedimento</v>
      </c>
      <c r="XFD5" s="106"/>
    </row>
    <row r="18" spans="2:2" hidden="1" x14ac:dyDescent="0.3">
      <c r="B18"/>
    </row>
    <row r="19" spans="2:2" hidden="1" x14ac:dyDescent="0.3">
      <c r="B19"/>
    </row>
  </sheetData>
  <pageMargins left="0.511811024" right="0.511811024" top="0.78740157499999996" bottom="0.78740157499999996" header="0.31496062000000002" footer="0.31496062000000002"/>
  <pageSetup paperSize="9" orientation="portrait" horizontalDpi="0" verticalDpi="0" r:id="rId1"/>
  <extLst>
    <ext xmlns:x14="http://schemas.microsoft.com/office/spreadsheetml/2009/9/main" uri="{CCE6A557-97BC-4b89-ADB6-D9C93CAAB3DF}">
      <x14:dataValidations xmlns:xm="http://schemas.microsoft.com/office/excel/2006/main" xWindow="1426" yWindow="233" count="1">
        <x14:dataValidation type="list" allowBlank="1" showInputMessage="1" showErrorMessage="1" prompt="Escolha conforme a necessidade; em alguns casos, será necessário o uso de duas ou mais respostas padrão. Fique atento a essa situação." xr:uid="{FBADC008-FBD0-4D8A-B838-D784D3341176}">
          <x14:formula1>
            <xm:f>listas!$C$2:$C$47</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20239-26FE-4C8A-BC32-BB4D364A180E}">
  <sheetPr codeName="Planilha5"/>
  <dimension ref="F1:R21"/>
  <sheetViews>
    <sheetView showFormulas="1" showGridLines="0" showRowColHeaders="0" topLeftCell="F1" workbookViewId="0">
      <selection activeCell="M18" sqref="M18"/>
    </sheetView>
  </sheetViews>
  <sheetFormatPr defaultColWidth="0" defaultRowHeight="14.4" zeroHeight="1" x14ac:dyDescent="0.3"/>
  <cols>
    <col min="1" max="5" width="9.109375" hidden="1" customWidth="1"/>
    <col min="6" max="6" width="55.109375" bestFit="1" customWidth="1"/>
    <col min="7" max="7" width="15" bestFit="1" customWidth="1"/>
    <col min="8" max="8" width="16.6640625" customWidth="1"/>
    <col min="9" max="9" width="13.5546875" bestFit="1" customWidth="1"/>
    <col min="10" max="10" width="9.109375" customWidth="1"/>
    <col min="11" max="11" width="13.5546875" bestFit="1" customWidth="1"/>
    <col min="12" max="12" width="9.109375" customWidth="1"/>
    <col min="13" max="13" width="15.33203125" bestFit="1" customWidth="1"/>
    <col min="14" max="14" width="9.109375" customWidth="1"/>
    <col min="15" max="15" width="15.109375" bestFit="1" customWidth="1"/>
    <col min="16" max="16" width="9.109375" customWidth="1"/>
    <col min="17" max="17" width="13.5546875" bestFit="1" customWidth="1"/>
    <col min="18" max="18" width="9.109375" customWidth="1"/>
    <col min="19" max="16384" width="9.109375" hidden="1"/>
  </cols>
  <sheetData>
    <row r="1" spans="6:17" x14ac:dyDescent="0.3"/>
    <row r="2" spans="6:17" x14ac:dyDescent="0.3"/>
    <row r="3" spans="6:17" ht="19.2" x14ac:dyDescent="0.45">
      <c r="F3" s="142" t="s">
        <v>303</v>
      </c>
      <c r="G3" s="142"/>
      <c r="H3" s="6"/>
      <c r="I3" s="63" t="s">
        <v>286</v>
      </c>
      <c r="J3" s="64"/>
      <c r="K3" s="63" t="s">
        <v>151</v>
      </c>
      <c r="L3" s="64"/>
      <c r="M3" s="63" t="s">
        <v>287</v>
      </c>
      <c r="N3" s="64"/>
      <c r="O3" s="63" t="s">
        <v>285</v>
      </c>
      <c r="P3" s="64"/>
      <c r="Q3" s="63" t="s">
        <v>288</v>
      </c>
    </row>
    <row r="4" spans="6:17" ht="24.6" x14ac:dyDescent="0.55000000000000004">
      <c r="F4" s="143" t="s">
        <v>809</v>
      </c>
      <c r="G4" s="143"/>
      <c r="H4" s="65"/>
      <c r="I4" s="95">
        <f>IF($F$4="","",(VLOOKUP($F$4,[3]cidades!$A$2:$P$400,3,FALSE)))</f>
        <v>4729.62</v>
      </c>
      <c r="J4" s="71"/>
      <c r="K4" s="95">
        <f>IF($F$4="","",(VLOOKUP($F$4,[3]cidades!$A$2:$P$400,15,FALSE)))</f>
        <v>4567</v>
      </c>
      <c r="L4" s="71"/>
      <c r="M4" s="95">
        <f>IF($F$4="","",(VLOOKUP($F$4,[3]cidades!$A$2:$P$400,6,FALSE)))</f>
        <v>4764</v>
      </c>
      <c r="N4" s="71"/>
      <c r="O4" s="95">
        <f>IF($F$4="","",(VLOOKUP($F$4,[3]cidades!$A$2:$P$400,9,FALSE)))</f>
        <v>3763.08</v>
      </c>
      <c r="P4" s="71"/>
      <c r="Q4" s="95">
        <f>IF($F$4="","",(VLOOKUP($F$4,[3]cidades!$A$2:$P$400,12,FALSE)))</f>
        <v>4211.45</v>
      </c>
    </row>
    <row r="5" spans="6:17" x14ac:dyDescent="0.3">
      <c r="I5" s="99"/>
      <c r="J5" s="66"/>
    </row>
    <row r="6" spans="6:17" x14ac:dyDescent="0.3">
      <c r="G6" t="s">
        <v>289</v>
      </c>
      <c r="I6" s="100">
        <f>I4/220</f>
        <v>21.498272727272727</v>
      </c>
      <c r="J6" s="96"/>
      <c r="K6" s="100">
        <f>K4/220</f>
        <v>20.759090909090908</v>
      </c>
      <c r="L6" s="97"/>
      <c r="M6" s="100">
        <f>M4/220</f>
        <v>21.654545454545456</v>
      </c>
      <c r="N6" s="97"/>
      <c r="O6" s="100">
        <f>O4/220</f>
        <v>17.104909090909089</v>
      </c>
      <c r="P6" s="97"/>
      <c r="Q6" s="100">
        <f>Q4/220</f>
        <v>19.142954545454543</v>
      </c>
    </row>
    <row r="7" spans="6:17" x14ac:dyDescent="0.3">
      <c r="I7" s="98"/>
      <c r="J7" s="66"/>
      <c r="K7" s="66"/>
      <c r="M7" s="66"/>
      <c r="O7" s="66"/>
      <c r="Q7" s="66"/>
    </row>
    <row r="8" spans="6:17" ht="15" x14ac:dyDescent="0.35">
      <c r="G8" s="146" t="s">
        <v>290</v>
      </c>
      <c r="H8" s="146"/>
      <c r="I8" s="146"/>
      <c r="J8" s="146"/>
      <c r="K8" s="63"/>
      <c r="L8" s="63"/>
      <c r="O8" s="66"/>
      <c r="Q8" s="66"/>
    </row>
    <row r="9" spans="6:17" ht="19.2" x14ac:dyDescent="0.3">
      <c r="G9" s="93"/>
      <c r="H9" s="95">
        <f>IF($F$4="","",(VLOOKUP($F$4,[3]cidades!$A$2:$P$400,4,FALSE)))</f>
        <v>4729.62</v>
      </c>
      <c r="I9" s="94"/>
      <c r="J9" s="94"/>
      <c r="K9" s="78"/>
      <c r="L9" s="101"/>
      <c r="M9" s="78"/>
      <c r="O9" s="66"/>
      <c r="Q9" s="66"/>
    </row>
    <row r="10" spans="6:17" x14ac:dyDescent="0.3">
      <c r="I10" s="66"/>
      <c r="J10" s="66"/>
    </row>
    <row r="11" spans="6:17" x14ac:dyDescent="0.3">
      <c r="I11" s="66"/>
      <c r="J11" s="66"/>
    </row>
    <row r="12" spans="6:17" x14ac:dyDescent="0.3">
      <c r="F12" s="144"/>
      <c r="G12" s="144"/>
      <c r="H12" s="144"/>
      <c r="I12" s="144"/>
      <c r="J12" s="144"/>
      <c r="K12" s="144"/>
      <c r="L12" s="144"/>
      <c r="M12" s="144"/>
      <c r="N12" s="144"/>
      <c r="O12" s="144"/>
      <c r="P12" s="144"/>
      <c r="Q12" s="144"/>
    </row>
    <row r="13" spans="6:17" ht="35.1" customHeight="1" x14ac:dyDescent="0.3">
      <c r="F13" s="145" t="s">
        <v>306</v>
      </c>
      <c r="G13" s="145"/>
      <c r="H13" s="102"/>
      <c r="I13" s="103">
        <v>10</v>
      </c>
      <c r="J13" s="66"/>
    </row>
    <row r="14" spans="6:17" ht="18" x14ac:dyDescent="0.35">
      <c r="F14" s="67"/>
      <c r="G14" s="67"/>
      <c r="H14" s="67"/>
      <c r="I14" s="67"/>
      <c r="J14" s="68"/>
      <c r="L14" s="69"/>
    </row>
    <row r="15" spans="6:17" ht="18" x14ac:dyDescent="0.35">
      <c r="M15" s="70"/>
      <c r="N15" s="70"/>
      <c r="O15" s="70"/>
      <c r="P15" s="70"/>
      <c r="Q15" s="70"/>
    </row>
    <row r="16" spans="6:17" x14ac:dyDescent="0.3"/>
    <row r="17" spans="9:17" ht="15" x14ac:dyDescent="0.35">
      <c r="I17" s="63" t="s">
        <v>286</v>
      </c>
      <c r="J17" s="64"/>
      <c r="K17" s="63" t="s">
        <v>151</v>
      </c>
      <c r="L17" s="64"/>
      <c r="M17" s="63" t="s">
        <v>287</v>
      </c>
      <c r="N17" s="64"/>
      <c r="O17" s="63" t="s">
        <v>285</v>
      </c>
      <c r="P17" s="64"/>
      <c r="Q17" s="63" t="s">
        <v>288</v>
      </c>
    </row>
    <row r="18" spans="9:17" ht="19.2" x14ac:dyDescent="0.3">
      <c r="I18" s="104">
        <f>IF($I13="","",(I4/44*$I13))</f>
        <v>1074.9136363636362</v>
      </c>
      <c r="J18" s="71"/>
      <c r="K18" s="104">
        <f>IF($I13="","",(K4/44*$I13))</f>
        <v>1037.9545454545455</v>
      </c>
      <c r="L18" s="71"/>
      <c r="M18" s="104">
        <f>IF($I13="","",(M4/44*$I13))</f>
        <v>1082.7272727272727</v>
      </c>
      <c r="N18" s="71"/>
      <c r="O18" s="104">
        <f>IF($I13="","",(O4/44*$I13))</f>
        <v>855.24545454545444</v>
      </c>
      <c r="P18" s="71"/>
      <c r="Q18" s="104">
        <f>IF($I13="","",(Q4/44*$I13))</f>
        <v>957.14772727272714</v>
      </c>
    </row>
    <row r="19" spans="9:17" x14ac:dyDescent="0.3"/>
    <row r="20" spans="9:17" x14ac:dyDescent="0.3"/>
    <row r="21" spans="9:17" x14ac:dyDescent="0.3"/>
  </sheetData>
  <protectedRanges>
    <protectedRange sqref="F4 I13" name="Intervalo1_1"/>
  </protectedRanges>
  <mergeCells count="5">
    <mergeCell ref="F3:G3"/>
    <mergeCell ref="F4:G4"/>
    <mergeCell ref="F12:Q12"/>
    <mergeCell ref="F13:G13"/>
    <mergeCell ref="G8:J8"/>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34617-62DE-4AED-ABD4-AA6C4E05EA61}">
  <sheetPr codeName="Planilha6"/>
  <dimension ref="A1:F27"/>
  <sheetViews>
    <sheetView showFormulas="1" showGridLines="0" topLeftCell="A22" workbookViewId="0">
      <selection activeCell="E20" sqref="E20"/>
    </sheetView>
  </sheetViews>
  <sheetFormatPr defaultColWidth="0" defaultRowHeight="14.4" zeroHeight="1" x14ac:dyDescent="0.3"/>
  <cols>
    <col min="1" max="1" width="2.6640625" customWidth="1"/>
    <col min="2" max="2" width="31.44140625" customWidth="1"/>
    <col min="3" max="3" width="9.109375" style="38" customWidth="1"/>
    <col min="4" max="4" width="10.33203125" style="85" bestFit="1" customWidth="1"/>
    <col min="5" max="5" width="150.6640625" customWidth="1"/>
    <col min="6" max="6" width="0" hidden="1" customWidth="1"/>
    <col min="7" max="16384" width="9.109375" hidden="1"/>
  </cols>
  <sheetData>
    <row r="1" spans="2:5" x14ac:dyDescent="0.3">
      <c r="D1" s="38"/>
    </row>
    <row r="2" spans="2:5" s="62" customFormat="1" ht="20.100000000000001" customHeight="1" x14ac:dyDescent="0.3">
      <c r="B2" s="76" t="s">
        <v>155</v>
      </c>
      <c r="C2" s="76" t="s">
        <v>156</v>
      </c>
      <c r="D2" s="76" t="s">
        <v>168</v>
      </c>
      <c r="E2" s="76" t="s">
        <v>157</v>
      </c>
    </row>
    <row r="3" spans="2:5" s="60" customFormat="1" ht="20.100000000000001" customHeight="1" x14ac:dyDescent="0.3">
      <c r="B3" s="60" t="s">
        <v>270</v>
      </c>
      <c r="C3" s="77" t="s">
        <v>231</v>
      </c>
      <c r="D3" s="84" t="s">
        <v>231</v>
      </c>
      <c r="E3" s="60" t="s">
        <v>271</v>
      </c>
    </row>
    <row r="4" spans="2:5" s="60" customFormat="1" ht="20.100000000000001" customHeight="1" x14ac:dyDescent="0.3">
      <c r="B4" s="60" t="s">
        <v>297</v>
      </c>
      <c r="C4" s="77" t="s">
        <v>231</v>
      </c>
      <c r="D4" s="84" t="s">
        <v>231</v>
      </c>
      <c r="E4" s="60" t="s">
        <v>298</v>
      </c>
    </row>
    <row r="5" spans="2:5" s="60" customFormat="1" ht="20.100000000000001" customHeight="1" x14ac:dyDescent="0.3">
      <c r="B5" s="60" t="s">
        <v>274</v>
      </c>
      <c r="C5" s="77" t="s">
        <v>158</v>
      </c>
      <c r="D5" s="84" t="s">
        <v>158</v>
      </c>
      <c r="E5" s="60" t="s">
        <v>264</v>
      </c>
    </row>
    <row r="6" spans="2:5" s="60" customFormat="1" ht="20.100000000000001" customHeight="1" x14ac:dyDescent="0.3">
      <c r="B6" s="60" t="s">
        <v>272</v>
      </c>
      <c r="C6" s="77" t="s">
        <v>159</v>
      </c>
      <c r="D6" s="84" t="s">
        <v>159</v>
      </c>
      <c r="E6" s="60" t="s">
        <v>265</v>
      </c>
    </row>
    <row r="7" spans="2:5" s="60" customFormat="1" ht="20.100000000000001" customHeight="1" x14ac:dyDescent="0.3">
      <c r="B7" s="60" t="s">
        <v>284</v>
      </c>
      <c r="C7" s="77" t="s">
        <v>160</v>
      </c>
      <c r="D7" s="84" t="s">
        <v>160</v>
      </c>
      <c r="E7" s="60" t="s">
        <v>266</v>
      </c>
    </row>
    <row r="8" spans="2:5" s="60" customFormat="1" ht="20.100000000000001" customHeight="1" x14ac:dyDescent="0.3">
      <c r="B8" s="60" t="s">
        <v>273</v>
      </c>
      <c r="C8" s="77" t="s">
        <v>161</v>
      </c>
      <c r="D8" s="84" t="s">
        <v>161</v>
      </c>
      <c r="E8" s="60" t="s">
        <v>267</v>
      </c>
    </row>
    <row r="9" spans="2:5" s="60" customFormat="1" ht="20.100000000000001" customHeight="1" x14ac:dyDescent="0.3">
      <c r="B9" s="60" t="s">
        <v>279</v>
      </c>
      <c r="C9" s="77" t="s">
        <v>162</v>
      </c>
      <c r="D9" s="84" t="s">
        <v>169</v>
      </c>
      <c r="E9" s="60" t="s">
        <v>299</v>
      </c>
    </row>
    <row r="10" spans="2:5" s="60" customFormat="1" ht="20.100000000000001" customHeight="1" x14ac:dyDescent="0.3">
      <c r="B10" s="60" t="s">
        <v>283</v>
      </c>
      <c r="C10" s="77" t="s">
        <v>163</v>
      </c>
      <c r="D10" s="84" t="s">
        <v>163</v>
      </c>
      <c r="E10" s="60" t="s">
        <v>268</v>
      </c>
    </row>
    <row r="11" spans="2:5" s="60" customFormat="1" ht="20.100000000000001" customHeight="1" x14ac:dyDescent="0.3">
      <c r="B11" s="60" t="s">
        <v>294</v>
      </c>
      <c r="C11" s="77" t="s">
        <v>158</v>
      </c>
      <c r="D11" s="84" t="s">
        <v>158</v>
      </c>
      <c r="E11" s="60" t="s">
        <v>360</v>
      </c>
    </row>
    <row r="12" spans="2:5" s="60" customFormat="1" ht="20.100000000000001" customHeight="1" x14ac:dyDescent="0.3">
      <c r="B12" s="60" t="s">
        <v>295</v>
      </c>
      <c r="C12" s="77" t="s">
        <v>158</v>
      </c>
      <c r="D12" s="84" t="s">
        <v>158</v>
      </c>
      <c r="E12" s="60" t="s">
        <v>302</v>
      </c>
    </row>
    <row r="13" spans="2:5" s="60" customFormat="1" ht="20.100000000000001" customHeight="1" x14ac:dyDescent="0.3">
      <c r="B13" s="60" t="s">
        <v>296</v>
      </c>
      <c r="C13" s="77" t="s">
        <v>158</v>
      </c>
      <c r="D13" s="84" t="s">
        <v>158</v>
      </c>
      <c r="E13" s="60" t="s">
        <v>164</v>
      </c>
    </row>
    <row r="14" spans="2:5" s="60" customFormat="1" ht="20.100000000000001" customHeight="1" x14ac:dyDescent="0.3">
      <c r="B14" s="60" t="s">
        <v>275</v>
      </c>
      <c r="C14" s="77" t="s">
        <v>161</v>
      </c>
      <c r="D14" s="84" t="s">
        <v>161</v>
      </c>
      <c r="E14" s="60" t="s">
        <v>301</v>
      </c>
    </row>
    <row r="15" spans="2:5" s="60" customFormat="1" ht="20.100000000000001" customHeight="1" x14ac:dyDescent="0.3">
      <c r="B15" s="60" t="s">
        <v>282</v>
      </c>
      <c r="C15" s="77" t="s">
        <v>161</v>
      </c>
      <c r="D15" s="84" t="s">
        <v>161</v>
      </c>
      <c r="E15" s="60" t="s">
        <v>300</v>
      </c>
    </row>
    <row r="16" spans="2:5" s="60" customFormat="1" ht="20.100000000000001" customHeight="1" x14ac:dyDescent="0.3">
      <c r="B16" s="60" t="s">
        <v>291</v>
      </c>
      <c r="C16" s="77" t="s">
        <v>161</v>
      </c>
      <c r="D16" s="84" t="s">
        <v>161</v>
      </c>
      <c r="E16" s="60" t="s">
        <v>165</v>
      </c>
    </row>
    <row r="17" spans="2:5" s="60" customFormat="1" ht="20.100000000000001" customHeight="1" x14ac:dyDescent="0.3">
      <c r="B17" s="60" t="s">
        <v>166</v>
      </c>
      <c r="C17" s="77" t="s">
        <v>163</v>
      </c>
      <c r="D17" s="84" t="s">
        <v>163</v>
      </c>
      <c r="E17" s="60" t="s">
        <v>269</v>
      </c>
    </row>
    <row r="18" spans="2:5" s="60" customFormat="1" ht="20.100000000000001" customHeight="1" x14ac:dyDescent="0.3">
      <c r="B18" s="60" t="s">
        <v>292</v>
      </c>
      <c r="C18" s="77" t="s">
        <v>162</v>
      </c>
      <c r="D18" s="84" t="s">
        <v>162</v>
      </c>
      <c r="E18" s="60" t="s">
        <v>167</v>
      </c>
    </row>
    <row r="19" spans="2:5" s="60" customFormat="1" ht="20.100000000000001" customHeight="1" x14ac:dyDescent="0.3">
      <c r="B19" s="60" t="s">
        <v>293</v>
      </c>
      <c r="C19" s="77" t="s">
        <v>162</v>
      </c>
      <c r="D19" s="84" t="s">
        <v>162</v>
      </c>
      <c r="E19" s="60" t="s">
        <v>167</v>
      </c>
    </row>
    <row r="20" spans="2:5" s="60" customFormat="1" ht="20.100000000000001" customHeight="1" x14ac:dyDescent="0.3">
      <c r="B20" s="60" t="s">
        <v>278</v>
      </c>
      <c r="C20" s="77" t="s">
        <v>231</v>
      </c>
      <c r="D20" s="84" t="s">
        <v>231</v>
      </c>
      <c r="E20" s="61" t="s">
        <v>280</v>
      </c>
    </row>
    <row r="21" spans="2:5" s="60" customFormat="1" ht="20.100000000000001" customHeight="1" x14ac:dyDescent="0.3">
      <c r="B21" s="60" t="s">
        <v>277</v>
      </c>
      <c r="C21" s="77" t="s">
        <v>276</v>
      </c>
      <c r="D21" s="84" t="s">
        <v>276</v>
      </c>
      <c r="E21" s="60" t="s">
        <v>171</v>
      </c>
    </row>
    <row r="22" spans="2:5" s="60" customFormat="1" ht="20.100000000000001" customHeight="1" x14ac:dyDescent="0.3">
      <c r="B22" s="60" t="s">
        <v>281</v>
      </c>
      <c r="C22" s="77" t="s">
        <v>161</v>
      </c>
      <c r="D22" s="84" t="s">
        <v>161</v>
      </c>
      <c r="E22" s="60" t="s">
        <v>172</v>
      </c>
    </row>
    <row r="23" spans="2:5" ht="20.100000000000001" customHeight="1" x14ac:dyDescent="0.3"/>
    <row r="24" spans="2:5" x14ac:dyDescent="0.3"/>
    <row r="25" spans="2:5" x14ac:dyDescent="0.3"/>
    <row r="26" spans="2:5" x14ac:dyDescent="0.3"/>
    <row r="27" spans="2:5" x14ac:dyDescent="0.3"/>
  </sheetData>
  <hyperlinks>
    <hyperlink ref="D5" r:id="rId1" tooltip="RESOLUÇÃO" xr:uid="{0EF2D53E-77C5-40D6-A7A0-A72BABD5A2AD}"/>
    <hyperlink ref="D6" r:id="rId2" xr:uid="{2FDD05FF-7C6D-411D-91DB-65198DAE1E7D}"/>
    <hyperlink ref="D7" r:id="rId3" xr:uid="{2DA8943B-9880-4ADB-B25D-192F94A53596}"/>
    <hyperlink ref="D8" r:id="rId4" xr:uid="{9142DB52-CE83-45C3-903E-99B2FC82D731}"/>
    <hyperlink ref="D9" r:id="rId5" xr:uid="{F5C02404-50FD-4D2A-9B9E-C807661E17E9}"/>
    <hyperlink ref="D10" r:id="rId6" xr:uid="{542A214E-2346-4CF0-A2AA-D25EA03E3FCA}"/>
    <hyperlink ref="D11" r:id="rId7" xr:uid="{773A2D9C-DFE9-4A78-8D14-89E2311CB7FE}"/>
    <hyperlink ref="D13" r:id="rId8" xr:uid="{D802EA8C-69B9-4095-A8EF-07757AA033E8}"/>
    <hyperlink ref="D12" r:id="rId9" xr:uid="{667D8822-702D-4F68-A73C-4112E1DE5813}"/>
    <hyperlink ref="D14" r:id="rId10" xr:uid="{3B0E84DB-6DB1-4BC9-863E-8C0D67C70DDB}"/>
    <hyperlink ref="D15" r:id="rId11" xr:uid="{EDCAAE10-B944-4F9D-96E1-E991486C653B}"/>
    <hyperlink ref="D16" r:id="rId12" xr:uid="{1893CFAA-C3F4-4CBB-B45E-90D814BB484C}"/>
    <hyperlink ref="D17" r:id="rId13" xr:uid="{4998BAE8-6181-4489-A4AE-17A7B0E437DD}"/>
    <hyperlink ref="D18" r:id="rId14" location="art1" xr:uid="{E4839DC9-9DF9-4243-9B2F-D47303585891}"/>
    <hyperlink ref="D19" r:id="rId15" xr:uid="{9A7194F5-3DD0-4B51-9CCF-7C98E150FDFF}"/>
    <hyperlink ref="D20" r:id="rId16" xr:uid="{D5964F49-D12A-442F-873B-4D33709727AE}"/>
    <hyperlink ref="D3" r:id="rId17" xr:uid="{5A1396CD-7107-40A0-8BD7-D6E7BF134AC4}"/>
    <hyperlink ref="D4" r:id="rId18" xr:uid="{2E429488-71BF-42A8-AA05-CA38F64861B0}"/>
    <hyperlink ref="D21" r:id="rId19" xr:uid="{D90B4741-52F8-44D6-8725-AB920D6D325C}"/>
    <hyperlink ref="D22" r:id="rId20" xr:uid="{BC0BCDB7-3FBB-4B60-B35A-9CFB00D7F696}"/>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B1B3-EEE0-4386-A6CE-93C5AB97A590}">
  <sheetPr codeName="Planilha7"/>
  <dimension ref="A1:I16"/>
  <sheetViews>
    <sheetView showFormulas="1" showGridLines="0" workbookViewId="0">
      <selection activeCell="B2" sqref="B2:H2"/>
    </sheetView>
  </sheetViews>
  <sheetFormatPr defaultColWidth="0" defaultRowHeight="15" customHeight="1" zeroHeight="1" x14ac:dyDescent="0.3"/>
  <cols>
    <col min="1" max="1" width="7.6640625" style="88" customWidth="1"/>
    <col min="2" max="2" width="24.6640625" customWidth="1"/>
    <col min="3" max="3" width="95.33203125" customWidth="1"/>
    <col min="4" max="4" width="1.109375" customWidth="1"/>
    <col min="5" max="8" width="9.109375" customWidth="1"/>
    <col min="9" max="9" width="9.109375" style="88" customWidth="1"/>
    <col min="10" max="16384" width="9.109375" hidden="1"/>
  </cols>
  <sheetData>
    <row r="1" spans="2:8" ht="28.5" customHeight="1" x14ac:dyDescent="0.45">
      <c r="B1" s="88"/>
      <c r="C1" s="87"/>
      <c r="D1" s="88"/>
      <c r="E1" s="88"/>
      <c r="F1" s="88"/>
      <c r="G1" s="88"/>
      <c r="H1" s="88"/>
    </row>
    <row r="2" spans="2:8" ht="24.75" customHeight="1" x14ac:dyDescent="0.3">
      <c r="B2" s="149" t="s">
        <v>256</v>
      </c>
      <c r="C2" s="149"/>
      <c r="D2" s="149"/>
      <c r="E2" s="149"/>
      <c r="F2" s="149"/>
      <c r="G2" s="149"/>
      <c r="H2" s="149"/>
    </row>
    <row r="3" spans="2:8" ht="9.9" customHeight="1" x14ac:dyDescent="0.3">
      <c r="B3" s="150" t="s">
        <v>304</v>
      </c>
      <c r="C3" s="150"/>
      <c r="D3" s="150"/>
      <c r="E3" s="150"/>
      <c r="F3" s="150"/>
      <c r="G3" s="150"/>
      <c r="H3" s="150"/>
    </row>
    <row r="4" spans="2:8" ht="14.4" x14ac:dyDescent="0.3">
      <c r="B4" s="150"/>
      <c r="C4" s="150"/>
      <c r="D4" s="150"/>
      <c r="E4" s="150"/>
      <c r="F4" s="150"/>
      <c r="G4" s="150"/>
      <c r="H4" s="150"/>
    </row>
    <row r="5" spans="2:8" ht="50.1" customHeight="1" x14ac:dyDescent="0.3">
      <c r="B5" s="147" t="s">
        <v>908</v>
      </c>
      <c r="C5" s="148"/>
      <c r="D5" s="148"/>
      <c r="E5" s="148"/>
      <c r="F5" s="148"/>
      <c r="G5" s="148"/>
      <c r="H5" s="148"/>
    </row>
    <row r="6" spans="2:8" ht="18" customHeight="1" x14ac:dyDescent="0.3">
      <c r="B6" s="151"/>
      <c r="C6" s="151"/>
      <c r="D6" s="88"/>
      <c r="E6" s="88"/>
      <c r="F6" s="88"/>
      <c r="G6" s="88"/>
      <c r="H6" s="88"/>
    </row>
    <row r="7" spans="2:8" ht="30" customHeight="1" x14ac:dyDescent="0.3">
      <c r="B7" s="92" t="s">
        <v>305</v>
      </c>
      <c r="C7" s="152" t="s">
        <v>909</v>
      </c>
      <c r="D7" s="152"/>
      <c r="E7" s="152"/>
      <c r="F7" s="152"/>
      <c r="G7" s="152"/>
      <c r="H7" s="153"/>
    </row>
    <row r="8" spans="2:8" ht="18" customHeight="1" x14ac:dyDescent="0.3">
      <c r="B8" s="88"/>
      <c r="C8" s="89"/>
      <c r="D8" s="89"/>
      <c r="E8" s="89"/>
      <c r="F8" s="89"/>
      <c r="G8" s="89"/>
      <c r="H8" s="89"/>
    </row>
    <row r="9" spans="2:8" ht="30" customHeight="1" x14ac:dyDescent="0.3">
      <c r="B9" s="147" t="s">
        <v>910</v>
      </c>
      <c r="C9" s="148"/>
      <c r="D9" s="148"/>
      <c r="E9" s="148"/>
      <c r="F9" s="148"/>
      <c r="G9" s="148"/>
      <c r="H9" s="148"/>
    </row>
    <row r="10" spans="2:8" ht="18" customHeight="1" x14ac:dyDescent="0.3">
      <c r="B10" s="88"/>
      <c r="C10" s="89"/>
      <c r="D10" s="89"/>
      <c r="E10" s="89"/>
      <c r="F10" s="89"/>
      <c r="G10" s="89"/>
      <c r="H10" s="89"/>
    </row>
    <row r="11" spans="2:8" ht="30" customHeight="1" x14ac:dyDescent="0.3">
      <c r="B11" s="147" t="s">
        <v>911</v>
      </c>
      <c r="C11" s="148"/>
      <c r="D11" s="148"/>
      <c r="E11" s="148"/>
      <c r="F11" s="148"/>
      <c r="G11" s="148"/>
      <c r="H11" s="148"/>
    </row>
    <row r="12" spans="2:8" ht="18" customHeight="1" x14ac:dyDescent="0.3">
      <c r="B12" s="90"/>
      <c r="C12" s="91"/>
      <c r="D12" s="91"/>
      <c r="E12" s="91"/>
      <c r="F12" s="91"/>
      <c r="G12" s="91"/>
      <c r="H12" s="91"/>
    </row>
    <row r="13" spans="2:8" ht="30" customHeight="1" x14ac:dyDescent="0.3">
      <c r="B13" s="147" t="s">
        <v>912</v>
      </c>
      <c r="C13" s="148"/>
      <c r="D13" s="148"/>
      <c r="E13" s="148"/>
      <c r="F13" s="148"/>
      <c r="G13" s="148"/>
      <c r="H13" s="148"/>
    </row>
    <row r="14" spans="2:8" ht="18" customHeight="1" x14ac:dyDescent="0.3">
      <c r="B14" s="88"/>
      <c r="C14" s="89"/>
      <c r="D14" s="89"/>
      <c r="E14" s="89"/>
      <c r="F14" s="89"/>
      <c r="G14" s="89"/>
      <c r="H14" s="89"/>
    </row>
    <row r="15" spans="2:8" ht="30" customHeight="1" x14ac:dyDescent="0.3">
      <c r="B15" s="147">
        <v>0</v>
      </c>
      <c r="C15" s="148"/>
      <c r="D15" s="148"/>
      <c r="E15" s="148"/>
      <c r="F15" s="148"/>
      <c r="G15" s="148"/>
      <c r="H15" s="148"/>
    </row>
    <row r="16" spans="2:8" ht="18" customHeight="1" x14ac:dyDescent="0.3">
      <c r="B16" s="88"/>
      <c r="C16" s="88"/>
      <c r="D16" s="88"/>
      <c r="E16" s="88"/>
      <c r="F16" s="88"/>
      <c r="G16" s="88"/>
      <c r="H16" s="88"/>
    </row>
  </sheetData>
  <sheetProtection selectLockedCells="1"/>
  <mergeCells count="9">
    <mergeCell ref="B15:H15"/>
    <mergeCell ref="B5:H5"/>
    <mergeCell ref="B2:H2"/>
    <mergeCell ref="B3:H4"/>
    <mergeCell ref="B6:C6"/>
    <mergeCell ref="C7:H7"/>
    <mergeCell ref="B9:H9"/>
    <mergeCell ref="B11:H11"/>
    <mergeCell ref="B13:H13"/>
  </mergeCells>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xWindow="1162" yWindow="367" count="1">
        <x14:dataValidation type="list" allowBlank="1" showInputMessage="1" showErrorMessage="1" xr:uid="{1999B6F1-2B76-4444-8275-A5AC809E2A3C}">
          <x14:formula1>
            <xm:f>listas!$B$2:$B$37</xm:f>
          </x14:formula1>
          <xm:sqref>B2:H2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38735-A854-4F24-9656-1C2DBC0EE4BD}">
  <sheetPr codeName="Planilha8"/>
  <dimension ref="A1:XFD20"/>
  <sheetViews>
    <sheetView showFormulas="1" showGridLines="0" showRowColHeaders="0" topLeftCell="B1" workbookViewId="0">
      <pane xSplit="1" ySplit="2" topLeftCell="C3" activePane="bottomRight" state="frozen"/>
      <selection activeCell="B1" sqref="B1"/>
      <selection pane="topRight" activeCell="C1" sqref="C1"/>
      <selection pane="bottomLeft" activeCell="B5" sqref="B5"/>
      <selection pane="bottomRight" activeCell="E15" sqref="E15:R15"/>
    </sheetView>
  </sheetViews>
  <sheetFormatPr defaultColWidth="0" defaultRowHeight="14.4" zeroHeight="1" x14ac:dyDescent="0.3"/>
  <cols>
    <col min="1" max="1" width="9.109375" style="106" hidden="1" customWidth="1"/>
    <col min="2" max="2" width="6.44140625" style="106" hidden="1" customWidth="1"/>
    <col min="3" max="3" width="24.88671875" style="110" bestFit="1" customWidth="1"/>
    <col min="4" max="4" width="4.88671875" style="106" customWidth="1"/>
    <col min="5" max="18" width="12" style="106" customWidth="1"/>
    <col min="19" max="16383" width="9.109375" style="106" hidden="1"/>
    <col min="16384" max="16384" width="8.44140625" style="106" customWidth="1"/>
  </cols>
  <sheetData>
    <row r="1" spans="1:18 16384:16384" x14ac:dyDescent="0.3">
      <c r="A1"/>
      <c r="B1"/>
    </row>
    <row r="2" spans="1:18 16384:16384" ht="15" thickBot="1" x14ac:dyDescent="0.35">
      <c r="A2"/>
      <c r="B2"/>
    </row>
    <row r="3" spans="1:18 16384:16384" customFormat="1" ht="15" thickBot="1" x14ac:dyDescent="0.35">
      <c r="B3" s="28"/>
      <c r="C3" s="110"/>
      <c r="D3" s="106"/>
      <c r="E3" s="162" t="s">
        <v>56</v>
      </c>
      <c r="F3" s="163"/>
      <c r="G3" s="164" t="s">
        <v>57</v>
      </c>
      <c r="H3" s="163"/>
      <c r="I3" s="164" t="s">
        <v>58</v>
      </c>
      <c r="J3" s="163"/>
      <c r="K3" s="164" t="s">
        <v>59</v>
      </c>
      <c r="L3" s="163"/>
      <c r="M3" s="164" t="s">
        <v>60</v>
      </c>
      <c r="N3" s="163"/>
      <c r="O3" s="164" t="s">
        <v>61</v>
      </c>
      <c r="P3" s="163"/>
      <c r="Q3" s="164" t="s">
        <v>62</v>
      </c>
      <c r="R3" s="182"/>
      <c r="XFD3" s="106"/>
    </row>
    <row r="4" spans="1:18 16384:16384" customFormat="1" x14ac:dyDescent="0.3">
      <c r="C4" s="110"/>
      <c r="D4" s="106"/>
      <c r="E4" s="29"/>
      <c r="F4" s="30"/>
      <c r="G4" s="29">
        <v>0.54166666666666663</v>
      </c>
      <c r="H4" s="30">
        <v>0.70138888888888884</v>
      </c>
      <c r="I4" s="29">
        <v>0.54166666666666663</v>
      </c>
      <c r="J4" s="30">
        <v>0.70138888888888884</v>
      </c>
      <c r="K4" s="29">
        <v>0.54166666666666663</v>
      </c>
      <c r="L4" s="30">
        <v>0.70138888888888884</v>
      </c>
      <c r="M4" s="29">
        <v>0.54166666666666663</v>
      </c>
      <c r="N4" s="30">
        <v>0.70138888888888884</v>
      </c>
      <c r="O4" s="29">
        <v>0.54166666666666663</v>
      </c>
      <c r="P4" s="30">
        <v>0.70138888888888884</v>
      </c>
      <c r="Q4" s="29">
        <v>0.54166666666666663</v>
      </c>
      <c r="R4" s="30">
        <v>0.70138888888888884</v>
      </c>
      <c r="XFD4" s="106"/>
    </row>
    <row r="5" spans="1:18 16384:16384" customFormat="1" ht="15" thickBot="1" x14ac:dyDescent="0.35">
      <c r="C5" s="110"/>
      <c r="D5" s="106"/>
      <c r="E5" s="31"/>
      <c r="F5" s="32"/>
      <c r="G5" s="31">
        <v>0.75</v>
      </c>
      <c r="H5" s="32">
        <v>0.95833333333333337</v>
      </c>
      <c r="I5" s="31">
        <v>0.75</v>
      </c>
      <c r="J5" s="32">
        <v>0.95833333333333337</v>
      </c>
      <c r="K5" s="31">
        <v>0.75</v>
      </c>
      <c r="L5" s="32">
        <v>0.95833333333333337</v>
      </c>
      <c r="M5" s="31">
        <v>0.75</v>
      </c>
      <c r="N5" s="32">
        <v>0.95833333333333337</v>
      </c>
      <c r="O5" s="31">
        <v>0.75</v>
      </c>
      <c r="P5" s="32">
        <v>0.95833333333333337</v>
      </c>
      <c r="Q5" s="31">
        <v>0.75</v>
      </c>
      <c r="R5" s="32">
        <v>0.95833333333333337</v>
      </c>
      <c r="XFD5" s="106"/>
    </row>
    <row r="6" spans="1:18 16384:16384" customFormat="1" x14ac:dyDescent="0.3">
      <c r="C6" s="7" t="s">
        <v>63</v>
      </c>
      <c r="D6" s="33"/>
      <c r="E6" s="158">
        <f>$F$4-$E$4</f>
        <v>0</v>
      </c>
      <c r="F6" s="159"/>
      <c r="G6" s="155">
        <f>$H$4-$G$4</f>
        <v>0.15972222222222221</v>
      </c>
      <c r="H6" s="156"/>
      <c r="I6" s="155">
        <f>$J$4-$I$4</f>
        <v>0.15972222222222221</v>
      </c>
      <c r="J6" s="156"/>
      <c r="K6" s="155">
        <f>$L$4-$K$4</f>
        <v>0.15972222222222221</v>
      </c>
      <c r="L6" s="156"/>
      <c r="M6" s="155">
        <f>$N$4-$M$4</f>
        <v>0.15972222222222221</v>
      </c>
      <c r="N6" s="156"/>
      <c r="O6" s="155">
        <f>$P$4-$O$4</f>
        <v>0.15972222222222221</v>
      </c>
      <c r="P6" s="156"/>
      <c r="Q6" s="155">
        <f>$R$4-$Q$4</f>
        <v>0.15972222222222221</v>
      </c>
      <c r="R6" s="171"/>
      <c r="XFD6" s="106"/>
    </row>
    <row r="7" spans="1:18 16384:16384" customFormat="1" x14ac:dyDescent="0.3">
      <c r="C7" s="7" t="s">
        <v>64</v>
      </c>
      <c r="D7" s="33"/>
      <c r="E7" s="157">
        <f>$F$5-$E$5</f>
        <v>0</v>
      </c>
      <c r="F7" s="154"/>
      <c r="G7" s="154">
        <f>$H$5-$G$5</f>
        <v>0.20833333333333337</v>
      </c>
      <c r="H7" s="154"/>
      <c r="I7" s="154">
        <f>$J$5-$I$5</f>
        <v>0.20833333333333337</v>
      </c>
      <c r="J7" s="154"/>
      <c r="K7" s="154">
        <f>$L$5-$K$5</f>
        <v>0.20833333333333337</v>
      </c>
      <c r="L7" s="154"/>
      <c r="M7" s="154">
        <f>$N$5-$M$5</f>
        <v>0.20833333333333337</v>
      </c>
      <c r="N7" s="154"/>
      <c r="O7" s="154">
        <f>$P$5-$O$5</f>
        <v>0.20833333333333337</v>
      </c>
      <c r="P7" s="154"/>
      <c r="Q7" s="154">
        <f>$R$5-$Q$5</f>
        <v>0.20833333333333337</v>
      </c>
      <c r="R7" s="183"/>
      <c r="XFD7" s="106"/>
    </row>
    <row r="8" spans="1:18 16384:16384" customFormat="1" x14ac:dyDescent="0.3">
      <c r="C8" s="8" t="s">
        <v>65</v>
      </c>
      <c r="D8" s="34"/>
      <c r="E8" s="160">
        <f>$E$5-$F$4</f>
        <v>0</v>
      </c>
      <c r="F8" s="161"/>
      <c r="G8" s="161">
        <f>$G$5-$H$4</f>
        <v>4.861111111111116E-2</v>
      </c>
      <c r="H8" s="161"/>
      <c r="I8" s="161">
        <f>$I$5-$J$4</f>
        <v>4.861111111111116E-2</v>
      </c>
      <c r="J8" s="161"/>
      <c r="K8" s="161">
        <f>$K$5-$L$4</f>
        <v>4.861111111111116E-2</v>
      </c>
      <c r="L8" s="161"/>
      <c r="M8" s="161">
        <f>$M$5-$N$4</f>
        <v>4.861111111111116E-2</v>
      </c>
      <c r="N8" s="161"/>
      <c r="O8" s="161">
        <f>$O$5-$P$4</f>
        <v>4.861111111111116E-2</v>
      </c>
      <c r="P8" s="161"/>
      <c r="Q8" s="161">
        <f>$Q$5-$R$4</f>
        <v>4.861111111111116E-2</v>
      </c>
      <c r="R8" s="180"/>
      <c r="XFD8" s="106"/>
    </row>
    <row r="9" spans="1:18 16384:16384" customFormat="1" ht="15" thickBot="1" x14ac:dyDescent="0.35">
      <c r="C9" s="9" t="s">
        <v>66</v>
      </c>
      <c r="D9" s="35"/>
      <c r="E9" s="178">
        <f>SUM($E$6:$F$7)</f>
        <v>0</v>
      </c>
      <c r="F9" s="179"/>
      <c r="G9" s="179">
        <f>SUM($G$6:$H$7)</f>
        <v>0.36805555555555558</v>
      </c>
      <c r="H9" s="179"/>
      <c r="I9" s="179">
        <f>SUM($I$6:$J$7)</f>
        <v>0.36805555555555558</v>
      </c>
      <c r="J9" s="179"/>
      <c r="K9" s="179">
        <f>SUM($K$6:$L$7)</f>
        <v>0.36805555555555558</v>
      </c>
      <c r="L9" s="179"/>
      <c r="M9" s="179">
        <f>SUM($M$6:$N$7)</f>
        <v>0.36805555555555558</v>
      </c>
      <c r="N9" s="179"/>
      <c r="O9" s="179">
        <f>SUM($O$6:$P$7)</f>
        <v>0.36805555555555558</v>
      </c>
      <c r="P9" s="179"/>
      <c r="Q9" s="179">
        <f>SUM($Q$6:$R$7)</f>
        <v>0.36805555555555558</v>
      </c>
      <c r="R9" s="181"/>
      <c r="XFD9" s="106"/>
    </row>
    <row r="10" spans="1:18 16384:16384" customFormat="1" ht="15" thickBot="1" x14ac:dyDescent="0.35">
      <c r="C10" s="10" t="s">
        <v>67</v>
      </c>
      <c r="D10" s="36"/>
      <c r="E10" s="172">
        <f>SUM($E$9:$R$9)</f>
        <v>2.2083333333333335</v>
      </c>
      <c r="F10" s="173"/>
      <c r="G10" s="173"/>
      <c r="H10" s="173"/>
      <c r="I10" s="173"/>
      <c r="J10" s="173"/>
      <c r="K10" s="173"/>
      <c r="L10" s="173"/>
      <c r="M10" s="173"/>
      <c r="N10" s="173"/>
      <c r="O10" s="173"/>
      <c r="P10" s="173"/>
      <c r="Q10" s="173"/>
      <c r="R10" s="174"/>
      <c r="XFD10" s="106"/>
    </row>
    <row r="11" spans="1:18 16384:16384" ht="15" thickBot="1" x14ac:dyDescent="0.35"/>
    <row r="12" spans="1:18 16384:16384" customFormat="1" ht="5.0999999999999996" customHeight="1" x14ac:dyDescent="0.3">
      <c r="A12" s="106"/>
      <c r="B12" s="106"/>
      <c r="C12" s="110"/>
      <c r="D12" s="106"/>
      <c r="E12" s="51"/>
      <c r="F12" s="111"/>
      <c r="G12" s="111"/>
      <c r="H12" s="111"/>
      <c r="I12" s="111"/>
      <c r="J12" s="111"/>
      <c r="K12" s="111"/>
      <c r="L12" s="111"/>
      <c r="M12" s="111"/>
      <c r="N12" s="111"/>
      <c r="O12" s="111"/>
      <c r="P12" s="111"/>
      <c r="Q12" s="111"/>
      <c r="R12" s="112"/>
      <c r="XFD12" s="106"/>
    </row>
    <row r="13" spans="1:18 16384:16384" customFormat="1" x14ac:dyDescent="0.3">
      <c r="A13" s="106"/>
      <c r="B13" s="106"/>
      <c r="C13" s="110"/>
      <c r="D13" s="106"/>
      <c r="E13" s="175" t="s">
        <v>68</v>
      </c>
      <c r="F13" s="176"/>
      <c r="G13" s="176"/>
      <c r="H13" s="176"/>
      <c r="I13" s="176"/>
      <c r="J13" s="176"/>
      <c r="K13" s="176"/>
      <c r="L13" s="176"/>
      <c r="M13" s="176"/>
      <c r="N13" s="176"/>
      <c r="O13" s="176"/>
      <c r="P13" s="176"/>
      <c r="Q13" s="176"/>
      <c r="R13" s="177"/>
      <c r="XFD13" s="106"/>
    </row>
    <row r="14" spans="1:18 16384:16384" customFormat="1" ht="5.0999999999999996" customHeight="1" x14ac:dyDescent="0.3">
      <c r="A14" s="106"/>
      <c r="B14" s="106"/>
      <c r="C14" s="110"/>
      <c r="D14" s="106"/>
      <c r="E14" s="48"/>
      <c r="F14" s="6"/>
      <c r="G14" s="6"/>
      <c r="H14" s="6"/>
      <c r="I14" s="6"/>
      <c r="J14" s="6"/>
      <c r="K14" s="6"/>
      <c r="L14" s="6"/>
      <c r="M14" s="6"/>
      <c r="N14" s="6"/>
      <c r="O14" s="6"/>
      <c r="P14" s="6"/>
      <c r="Q14" s="6"/>
      <c r="R14" s="113"/>
      <c r="XFD14" s="106"/>
    </row>
    <row r="15" spans="1:18 16384:16384" customFormat="1" x14ac:dyDescent="0.3">
      <c r="A15" s="106"/>
      <c r="B15" s="106"/>
      <c r="C15" s="110"/>
      <c r="D15" s="106"/>
      <c r="E15" s="165" t="s">
        <v>69</v>
      </c>
      <c r="F15" s="166"/>
      <c r="G15" s="166"/>
      <c r="H15" s="166"/>
      <c r="I15" s="166"/>
      <c r="J15" s="166"/>
      <c r="K15" s="166"/>
      <c r="L15" s="166"/>
      <c r="M15" s="166"/>
      <c r="N15" s="166"/>
      <c r="O15" s="166"/>
      <c r="P15" s="166"/>
      <c r="Q15" s="166"/>
      <c r="R15" s="167"/>
      <c r="XFD15" s="106"/>
    </row>
    <row r="16" spans="1:18 16384:16384" customFormat="1" x14ac:dyDescent="0.3">
      <c r="A16" s="106"/>
      <c r="B16" s="106"/>
      <c r="C16" s="110"/>
      <c r="D16" s="106"/>
      <c r="E16" s="165" t="s">
        <v>71</v>
      </c>
      <c r="F16" s="166"/>
      <c r="G16" s="166"/>
      <c r="H16" s="166"/>
      <c r="I16" s="166"/>
      <c r="J16" s="166"/>
      <c r="K16" s="166"/>
      <c r="L16" s="166"/>
      <c r="M16" s="166"/>
      <c r="N16" s="166"/>
      <c r="O16" s="166"/>
      <c r="P16" s="166"/>
      <c r="Q16" s="166"/>
      <c r="R16" s="167"/>
      <c r="XFD16" s="106"/>
    </row>
    <row r="17" spans="1:18 16384:16384" customFormat="1" ht="5.0999999999999996" customHeight="1" x14ac:dyDescent="0.3">
      <c r="A17" s="106"/>
      <c r="B17" s="106"/>
      <c r="C17" s="110"/>
      <c r="D17" s="106"/>
      <c r="E17" s="48"/>
      <c r="F17" s="6"/>
      <c r="G17" s="6"/>
      <c r="H17" s="6"/>
      <c r="I17" s="6"/>
      <c r="J17" s="6"/>
      <c r="K17" s="6"/>
      <c r="L17" s="6"/>
      <c r="M17" s="6"/>
      <c r="N17" s="6"/>
      <c r="O17" s="6"/>
      <c r="P17" s="6"/>
      <c r="Q17" s="6"/>
      <c r="R17" s="113"/>
      <c r="XFD17" s="106"/>
    </row>
    <row r="18" spans="1:18 16384:16384" customFormat="1" ht="15" thickBot="1" x14ac:dyDescent="0.35">
      <c r="A18" s="106"/>
      <c r="B18" s="106"/>
      <c r="C18" s="110"/>
      <c r="D18" s="106"/>
      <c r="E18" s="168" t="s">
        <v>70</v>
      </c>
      <c r="F18" s="169"/>
      <c r="G18" s="169"/>
      <c r="H18" s="169"/>
      <c r="I18" s="169"/>
      <c r="J18" s="169"/>
      <c r="K18" s="169"/>
      <c r="L18" s="169"/>
      <c r="M18" s="169"/>
      <c r="N18" s="169"/>
      <c r="O18" s="169"/>
      <c r="P18" s="169"/>
      <c r="Q18" s="169"/>
      <c r="R18" s="170"/>
      <c r="XFD18" s="106"/>
    </row>
    <row r="19" spans="1:18 16384:16384" ht="5.0999999999999996" customHeight="1" x14ac:dyDescent="0.3">
      <c r="E19" s="110"/>
      <c r="F19" s="110"/>
      <c r="G19" s="110"/>
      <c r="H19" s="110"/>
      <c r="I19" s="110"/>
      <c r="J19" s="110"/>
      <c r="K19" s="110"/>
      <c r="L19" s="110"/>
      <c r="M19" s="110"/>
      <c r="N19" s="110"/>
      <c r="O19" s="110"/>
      <c r="P19" s="110"/>
      <c r="Q19" s="110"/>
      <c r="R19" s="110"/>
    </row>
    <row r="20" spans="1:18 16384:16384" ht="14.25" hidden="1" customHeight="1" x14ac:dyDescent="0.3"/>
  </sheetData>
  <mergeCells count="40">
    <mergeCell ref="Q9:R9"/>
    <mergeCell ref="O7:P7"/>
    <mergeCell ref="O3:P3"/>
    <mergeCell ref="Q3:R3"/>
    <mergeCell ref="O8:P8"/>
    <mergeCell ref="Q7:R7"/>
    <mergeCell ref="E16:R16"/>
    <mergeCell ref="E18:R18"/>
    <mergeCell ref="M6:N6"/>
    <mergeCell ref="O6:P6"/>
    <mergeCell ref="Q6:R6"/>
    <mergeCell ref="E10:R10"/>
    <mergeCell ref="E13:R13"/>
    <mergeCell ref="E15:R15"/>
    <mergeCell ref="E9:F9"/>
    <mergeCell ref="G9:H9"/>
    <mergeCell ref="I9:J9"/>
    <mergeCell ref="K9:L9"/>
    <mergeCell ref="M9:N9"/>
    <mergeCell ref="G6:H6"/>
    <mergeCell ref="Q8:R8"/>
    <mergeCell ref="O9:P9"/>
    <mergeCell ref="E3:F3"/>
    <mergeCell ref="G3:H3"/>
    <mergeCell ref="I3:J3"/>
    <mergeCell ref="K3:L3"/>
    <mergeCell ref="M3:N3"/>
    <mergeCell ref="E8:F8"/>
    <mergeCell ref="G8:H8"/>
    <mergeCell ref="I8:J8"/>
    <mergeCell ref="K8:L8"/>
    <mergeCell ref="M8:N8"/>
    <mergeCell ref="M7:N7"/>
    <mergeCell ref="K6:L6"/>
    <mergeCell ref="I6:J6"/>
    <mergeCell ref="E7:F7"/>
    <mergeCell ref="G7:H7"/>
    <mergeCell ref="I7:J7"/>
    <mergeCell ref="K7:L7"/>
    <mergeCell ref="E6:F6"/>
  </mergeCells>
  <phoneticPr fontId="7" type="noConversion"/>
  <conditionalFormatting sqref="E8:R8">
    <cfRule type="cellIs" dxfId="3" priority="1" operator="lessThan">
      <formula>0.0208333333333333</formula>
    </cfRule>
  </conditionalFormatting>
  <dataValidations count="1">
    <dataValidation type="decimal" errorStyle="warning" operator="lessThan" allowBlank="1" showInputMessage="1" showErrorMessage="1" error="Intervalo menor que 30 minutos. " sqref="A8:D8 S8:XFD8" xr:uid="{61E9EEC1-20C4-45B6-A111-C65AD834FE28}">
      <formula1>B3</formula1>
    </dataValidation>
  </dataValidations>
  <pageMargins left="0.511811024" right="0.511811024" top="0.78740157499999996" bottom="0.78740157499999996" header="0.31496062000000002" footer="0.31496062000000002"/>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A95F-2CDF-40C1-9995-5CE075EF3291}">
  <sheetPr codeName="Planilha10"/>
  <dimension ref="J38:J54"/>
  <sheetViews>
    <sheetView showFormulas="1" workbookViewId="0">
      <selection activeCell="J11" sqref="J11"/>
    </sheetView>
  </sheetViews>
  <sheetFormatPr defaultRowHeight="14.4" x14ac:dyDescent="0.3"/>
  <sheetData>
    <row r="38" spans="10:10" x14ac:dyDescent="0.3">
      <c r="J38" s="133"/>
    </row>
    <row r="39" spans="10:10" x14ac:dyDescent="0.3">
      <c r="J39" s="133"/>
    </row>
    <row r="40" spans="10:10" x14ac:dyDescent="0.3">
      <c r="J40" s="133"/>
    </row>
    <row r="41" spans="10:10" x14ac:dyDescent="0.3">
      <c r="J41" s="133"/>
    </row>
    <row r="42" spans="10:10" x14ac:dyDescent="0.3">
      <c r="J42" s="133"/>
    </row>
    <row r="43" spans="10:10" x14ac:dyDescent="0.3">
      <c r="J43" s="133"/>
    </row>
    <row r="44" spans="10:10" x14ac:dyDescent="0.3">
      <c r="J44" s="133"/>
    </row>
    <row r="45" spans="10:10" x14ac:dyDescent="0.3">
      <c r="J45" s="133"/>
    </row>
    <row r="46" spans="10:10" x14ac:dyDescent="0.3">
      <c r="J46" s="133"/>
    </row>
    <row r="47" spans="10:10" x14ac:dyDescent="0.3">
      <c r="J47" s="133"/>
    </row>
    <row r="50" spans="10:10" x14ac:dyDescent="0.3">
      <c r="J50" s="133"/>
    </row>
    <row r="51" spans="10:10" x14ac:dyDescent="0.3">
      <c r="J51" s="133"/>
    </row>
    <row r="52" spans="10:10" x14ac:dyDescent="0.3">
      <c r="J52" s="133"/>
    </row>
    <row r="53" spans="10:10" x14ac:dyDescent="0.3">
      <c r="J53" s="133"/>
    </row>
    <row r="54" spans="10:10" x14ac:dyDescent="0.3">
      <c r="J54" s="133"/>
    </row>
  </sheetData>
  <pageMargins left="0.511811024" right="0.511811024" top="0.78740157499999996" bottom="0.78740157499999996" header="0.31496062000000002" footer="0.31496062000000002"/>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07AC-97FE-416B-A247-2BF5468DF7C5}">
  <sheetPr codeName="Planilha9"/>
  <dimension ref="A1:I18"/>
  <sheetViews>
    <sheetView showFormulas="1" showRowColHeaders="0" topLeftCell="C1" workbookViewId="0">
      <selection activeCell="F12" sqref="F12"/>
    </sheetView>
  </sheetViews>
  <sheetFormatPr defaultColWidth="0" defaultRowHeight="15" customHeight="1" zeroHeight="1" x14ac:dyDescent="0.3"/>
  <cols>
    <col min="1" max="2" width="9.109375" style="20" hidden="1" customWidth="1"/>
    <col min="3" max="3" width="5" style="20" customWidth="1"/>
    <col min="4" max="4" width="5.44140625" style="20" customWidth="1"/>
    <col min="5" max="5" width="66.33203125" style="20" customWidth="1"/>
    <col min="6" max="6" width="27.6640625" style="20" customWidth="1"/>
    <col min="7" max="7" width="9.33203125" style="20" customWidth="1"/>
    <col min="8" max="9" width="9.109375" style="20" hidden="1" customWidth="1"/>
    <col min="10" max="16384" width="9.109375" style="27" hidden="1"/>
  </cols>
  <sheetData>
    <row r="1" spans="3:7" s="17" customFormat="1" ht="14.4" x14ac:dyDescent="0.3"/>
    <row r="2" spans="3:7" s="20" customFormat="1" ht="14.4" x14ac:dyDescent="0.3">
      <c r="C2" s="18"/>
      <c r="D2" s="18"/>
      <c r="E2" s="18"/>
      <c r="F2" s="18"/>
      <c r="G2" s="19"/>
    </row>
    <row r="3" spans="3:7" s="20" customFormat="1" ht="31.2" x14ac:dyDescent="0.3">
      <c r="C3" s="18"/>
      <c r="D3" s="18"/>
      <c r="E3" s="11" t="s">
        <v>49</v>
      </c>
      <c r="F3" s="12">
        <v>4483</v>
      </c>
      <c r="G3" s="19"/>
    </row>
    <row r="4" spans="3:7" s="20" customFormat="1" ht="14.4" x14ac:dyDescent="0.3">
      <c r="C4" s="18"/>
      <c r="D4" s="18"/>
      <c r="E4" s="11"/>
      <c r="F4" s="21"/>
      <c r="G4" s="19"/>
    </row>
    <row r="5" spans="3:7" s="20" customFormat="1" ht="23.4" x14ac:dyDescent="0.3">
      <c r="C5" s="18"/>
      <c r="D5" s="18"/>
      <c r="E5" s="11" t="s">
        <v>50</v>
      </c>
      <c r="F5" s="13">
        <v>30</v>
      </c>
      <c r="G5" s="19"/>
    </row>
    <row r="6" spans="3:7" s="20" customFormat="1" ht="14.4" x14ac:dyDescent="0.3">
      <c r="C6" s="18"/>
      <c r="D6" s="18"/>
      <c r="E6" s="11"/>
      <c r="F6" s="21"/>
      <c r="G6" s="19"/>
    </row>
    <row r="7" spans="3:7" s="20" customFormat="1" ht="14.4" x14ac:dyDescent="0.3">
      <c r="C7" s="18"/>
      <c r="D7" s="18"/>
      <c r="E7" s="11" t="s">
        <v>51</v>
      </c>
      <c r="F7" s="22"/>
      <c r="G7" s="19"/>
    </row>
    <row r="8" spans="3:7" s="20" customFormat="1" ht="14.4" x14ac:dyDescent="0.3">
      <c r="C8" s="18"/>
      <c r="D8" s="18"/>
      <c r="E8" s="11" t="s">
        <v>52</v>
      </c>
      <c r="F8" s="23"/>
      <c r="G8" s="19"/>
    </row>
    <row r="9" spans="3:7" s="20" customFormat="1" ht="14.4" x14ac:dyDescent="0.3">
      <c r="C9" s="18"/>
      <c r="D9" s="18"/>
      <c r="E9" s="11"/>
      <c r="F9" s="18"/>
      <c r="G9" s="19"/>
    </row>
    <row r="10" spans="3:7" s="20" customFormat="1" ht="14.4" x14ac:dyDescent="0.3">
      <c r="C10" s="19"/>
      <c r="D10" s="19"/>
      <c r="E10" s="24"/>
      <c r="F10" s="25"/>
      <c r="G10" s="19"/>
    </row>
    <row r="11" spans="3:7" s="20" customFormat="1" ht="14.4" x14ac:dyDescent="0.3">
      <c r="C11" s="18"/>
      <c r="D11" s="18"/>
      <c r="E11" s="11"/>
      <c r="F11" s="18"/>
      <c r="G11" s="18"/>
    </row>
    <row r="12" spans="3:7" s="20" customFormat="1" ht="31.2" x14ac:dyDescent="0.3">
      <c r="C12" s="18"/>
      <c r="D12" s="18"/>
      <c r="E12" s="26" t="s">
        <v>53</v>
      </c>
      <c r="F12" s="14">
        <f>F3*F5/44</f>
        <v>3056.590909090909</v>
      </c>
      <c r="G12" s="18"/>
    </row>
    <row r="13" spans="3:7" s="20" customFormat="1" ht="14.4" x14ac:dyDescent="0.3">
      <c r="C13" s="18"/>
      <c r="D13" s="18"/>
      <c r="E13" s="11"/>
      <c r="F13" s="21"/>
      <c r="G13" s="18"/>
    </row>
    <row r="14" spans="3:7" s="20" customFormat="1" ht="18" x14ac:dyDescent="0.3">
      <c r="C14" s="18"/>
      <c r="D14" s="18"/>
      <c r="E14" s="26" t="s">
        <v>54</v>
      </c>
      <c r="F14" s="15">
        <f>IFERROR(F7*44/F3,0)</f>
        <v>0</v>
      </c>
      <c r="G14" s="18"/>
    </row>
    <row r="15" spans="3:7" s="20" customFormat="1" ht="14.4" x14ac:dyDescent="0.3">
      <c r="C15" s="18"/>
      <c r="D15" s="18"/>
      <c r="E15" s="11"/>
      <c r="F15" s="21"/>
      <c r="G15" s="18"/>
    </row>
    <row r="16" spans="3:7" s="20" customFormat="1" ht="21" x14ac:dyDescent="0.3">
      <c r="C16" s="18"/>
      <c r="D16" s="18"/>
      <c r="E16" s="26" t="s">
        <v>55</v>
      </c>
      <c r="F16" s="16">
        <f>F3/220</f>
        <v>20.377272727272729</v>
      </c>
      <c r="G16" s="18"/>
    </row>
    <row r="17" spans="3:7" s="20" customFormat="1" ht="14.25" customHeight="1" x14ac:dyDescent="0.3">
      <c r="C17" s="18"/>
      <c r="D17" s="18"/>
      <c r="E17" s="18"/>
      <c r="F17" s="18"/>
      <c r="G17" s="18"/>
    </row>
    <row r="18" spans="3:7" s="20" customFormat="1" ht="14.4" x14ac:dyDescent="0.3">
      <c r="C18" s="18"/>
      <c r="D18" s="18"/>
      <c r="E18" s="18"/>
      <c r="F18" s="18"/>
      <c r="G18" s="18"/>
    </row>
  </sheetData>
  <pageMargins left="0.511811024" right="0.511811024" top="0.78740157499999996" bottom="0.78740157499999996" header="0.31496062000000002" footer="0.31496062000000002"/>
  <pageSetup paperSize="9"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54AA7-FAD9-47C4-B845-4F4D35B994C2}">
  <sheetPr codeName="Planilha11" filterMode="1"/>
  <dimension ref="A1:D24"/>
  <sheetViews>
    <sheetView showFormulas="1" topLeftCell="B18" workbookViewId="0">
      <selection activeCell="D24" sqref="D24"/>
    </sheetView>
  </sheetViews>
  <sheetFormatPr defaultRowHeight="14.4" x14ac:dyDescent="0.3"/>
  <cols>
    <col min="1" max="1" width="9.109375" style="122"/>
    <col min="2" max="2" width="57.6640625" style="123" customWidth="1"/>
    <col min="3" max="3" width="83.88671875" style="121" customWidth="1"/>
    <col min="4" max="4" width="55.33203125" style="121" customWidth="1"/>
  </cols>
  <sheetData>
    <row r="1" spans="1:4" x14ac:dyDescent="0.3">
      <c r="B1" s="125" t="s">
        <v>562</v>
      </c>
    </row>
    <row r="2" spans="1:4" ht="331.2" hidden="1" x14ac:dyDescent="0.3">
      <c r="A2" s="122" t="s">
        <v>602</v>
      </c>
      <c r="B2" s="123" t="s">
        <v>603</v>
      </c>
      <c r="C2" s="124" t="s">
        <v>604</v>
      </c>
    </row>
    <row r="3" spans="1:4" ht="129.6" x14ac:dyDescent="0.3">
      <c r="A3" s="122" t="s">
        <v>605</v>
      </c>
      <c r="B3" s="123" t="s">
        <v>563</v>
      </c>
      <c r="C3" s="121" t="s">
        <v>597</v>
      </c>
    </row>
    <row r="4" spans="1:4" ht="57.6" x14ac:dyDescent="0.3">
      <c r="A4" s="122" t="s">
        <v>605</v>
      </c>
      <c r="B4" s="123" t="s">
        <v>566</v>
      </c>
      <c r="C4" s="121" t="s">
        <v>596</v>
      </c>
    </row>
    <row r="5" spans="1:4" ht="172.8" hidden="1" x14ac:dyDescent="0.3">
      <c r="A5" s="122" t="s">
        <v>602</v>
      </c>
      <c r="B5" s="123" t="s">
        <v>567</v>
      </c>
      <c r="C5" s="121" t="s">
        <v>595</v>
      </c>
    </row>
    <row r="6" spans="1:4" ht="50.1" customHeight="1" x14ac:dyDescent="0.3">
      <c r="A6" s="122" t="s">
        <v>605</v>
      </c>
      <c r="B6" s="123" t="s">
        <v>619</v>
      </c>
      <c r="C6" s="121" t="s">
        <v>620</v>
      </c>
      <c r="D6" s="121" t="s">
        <v>621</v>
      </c>
    </row>
    <row r="7" spans="1:4" ht="187.2" hidden="1" x14ac:dyDescent="0.3">
      <c r="A7" s="122" t="s">
        <v>602</v>
      </c>
      <c r="B7" s="123" t="s">
        <v>568</v>
      </c>
      <c r="C7" s="121" t="s">
        <v>598</v>
      </c>
    </row>
    <row r="8" spans="1:4" ht="288" hidden="1" x14ac:dyDescent="0.3">
      <c r="A8" s="122" t="s">
        <v>602</v>
      </c>
      <c r="B8" s="123" t="s">
        <v>570</v>
      </c>
      <c r="C8" s="121" t="s">
        <v>569</v>
      </c>
    </row>
    <row r="9" spans="1:4" ht="86.4" hidden="1" x14ac:dyDescent="0.3">
      <c r="A9" s="122" t="s">
        <v>607</v>
      </c>
      <c r="B9" s="123" t="s">
        <v>571</v>
      </c>
      <c r="C9" s="121" t="s">
        <v>606</v>
      </c>
    </row>
    <row r="10" spans="1:4" ht="129.6" hidden="1" x14ac:dyDescent="0.3">
      <c r="A10" s="122" t="s">
        <v>602</v>
      </c>
      <c r="B10" s="123" t="s">
        <v>609</v>
      </c>
      <c r="C10" s="121" t="s">
        <v>608</v>
      </c>
    </row>
    <row r="11" spans="1:4" ht="28.8" hidden="1" x14ac:dyDescent="0.3">
      <c r="A11" s="122" t="s">
        <v>607</v>
      </c>
      <c r="B11" s="123" t="s">
        <v>600</v>
      </c>
      <c r="C11" s="121" t="s">
        <v>601</v>
      </c>
    </row>
    <row r="12" spans="1:4" ht="28.8" hidden="1" x14ac:dyDescent="0.3">
      <c r="A12" s="122" t="s">
        <v>607</v>
      </c>
      <c r="B12" s="123" t="s">
        <v>572</v>
      </c>
      <c r="C12" s="121" t="s">
        <v>599</v>
      </c>
    </row>
    <row r="13" spans="1:4" ht="100.8" x14ac:dyDescent="0.3">
      <c r="A13" s="122" t="s">
        <v>605</v>
      </c>
      <c r="B13" s="123" t="s">
        <v>622</v>
      </c>
      <c r="C13" s="121" t="s">
        <v>623</v>
      </c>
    </row>
    <row r="14" spans="1:4" ht="100.8" hidden="1" x14ac:dyDescent="0.3">
      <c r="A14" s="122" t="s">
        <v>602</v>
      </c>
      <c r="B14" s="123" t="s">
        <v>624</v>
      </c>
      <c r="C14" s="121" t="s">
        <v>625</v>
      </c>
      <c r="D14" s="121" t="s">
        <v>626</v>
      </c>
    </row>
    <row r="15" spans="1:4" ht="57.6" hidden="1" x14ac:dyDescent="0.3">
      <c r="A15" s="122" t="s">
        <v>602</v>
      </c>
      <c r="B15" s="123" t="s">
        <v>627</v>
      </c>
      <c r="C15" s="121" t="s">
        <v>628</v>
      </c>
    </row>
    <row r="16" spans="1:4" ht="409.6" hidden="1" x14ac:dyDescent="0.3">
      <c r="A16" s="122" t="s">
        <v>602</v>
      </c>
      <c r="B16" s="123" t="s">
        <v>629</v>
      </c>
      <c r="C16" s="121" t="s">
        <v>631</v>
      </c>
      <c r="D16" s="121" t="s">
        <v>630</v>
      </c>
    </row>
    <row r="17" spans="1:3" ht="86.4" x14ac:dyDescent="0.3">
      <c r="A17" s="122" t="s">
        <v>605</v>
      </c>
      <c r="B17" s="123" t="s">
        <v>632</v>
      </c>
      <c r="C17" s="121" t="s">
        <v>633</v>
      </c>
    </row>
    <row r="18" spans="1:3" ht="28.8" x14ac:dyDescent="0.3">
      <c r="A18" s="122" t="s">
        <v>605</v>
      </c>
      <c r="B18" s="123" t="s">
        <v>862</v>
      </c>
      <c r="C18" s="121" t="s">
        <v>863</v>
      </c>
    </row>
    <row r="19" spans="1:3" ht="28.8" x14ac:dyDescent="0.3">
      <c r="A19" s="122" t="s">
        <v>605</v>
      </c>
      <c r="B19" s="123" t="s">
        <v>854</v>
      </c>
      <c r="C19" s="121" t="s">
        <v>855</v>
      </c>
    </row>
    <row r="20" spans="1:3" ht="28.8" hidden="1" x14ac:dyDescent="0.3">
      <c r="A20" s="122" t="s">
        <v>607</v>
      </c>
      <c r="B20" s="123" t="s">
        <v>856</v>
      </c>
      <c r="C20" s="121" t="s">
        <v>857</v>
      </c>
    </row>
    <row r="21" spans="1:3" ht="43.2" x14ac:dyDescent="0.3">
      <c r="A21" s="122" t="s">
        <v>605</v>
      </c>
      <c r="B21" s="123" t="s">
        <v>858</v>
      </c>
      <c r="C21" s="121" t="s">
        <v>859</v>
      </c>
    </row>
    <row r="22" spans="1:3" ht="201.6" hidden="1" x14ac:dyDescent="0.3">
      <c r="A22" s="122" t="s">
        <v>607</v>
      </c>
      <c r="B22" s="123" t="s">
        <v>860</v>
      </c>
      <c r="C22" s="121" t="s">
        <v>861</v>
      </c>
    </row>
    <row r="23" spans="1:3" ht="73.5" customHeight="1" x14ac:dyDescent="0.3">
      <c r="A23" s="122" t="s">
        <v>605</v>
      </c>
      <c r="B23" s="123" t="s">
        <v>864</v>
      </c>
      <c r="C23" s="121" t="s">
        <v>865</v>
      </c>
    </row>
    <row r="24" spans="1:3" ht="172.8" x14ac:dyDescent="0.3">
      <c r="A24" s="122" t="s">
        <v>602</v>
      </c>
      <c r="B24" s="123" t="s">
        <v>928</v>
      </c>
      <c r="C24" s="121" t="s">
        <v>929</v>
      </c>
    </row>
  </sheetData>
  <autoFilter ref="A1:D23" xr:uid="{E0A54AA7-FAD9-47C4-B845-4F4D35B994C2}">
    <filterColumn colId="0">
      <filters>
        <filter val="PF"/>
      </filters>
    </filterColumn>
  </autoFilter>
  <pageMargins left="0.511811024" right="0.511811024" top="0.78740157499999996" bottom="0.78740157499999996" header="0.31496062000000002" footer="0.31496062000000002"/>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7160-0582-4E16-A171-5025AE7E020F}">
  <sheetPr codeName="Planilha12"/>
  <dimension ref="A1:C93"/>
  <sheetViews>
    <sheetView showFormulas="1" tabSelected="1" topLeftCell="A42" workbookViewId="0">
      <selection activeCell="B49" sqref="B49"/>
    </sheetView>
  </sheetViews>
  <sheetFormatPr defaultRowHeight="14.4" x14ac:dyDescent="0.3"/>
  <cols>
    <col min="1" max="1" width="68.5546875" customWidth="1"/>
    <col min="2" max="2" width="53.88671875" style="39" bestFit="1" customWidth="1"/>
    <col min="3" max="3" width="37.33203125" customWidth="1"/>
  </cols>
  <sheetData>
    <row r="1" spans="1:3" ht="18" x14ac:dyDescent="0.3">
      <c r="A1" s="118" t="s">
        <v>361</v>
      </c>
      <c r="B1" s="119" t="s">
        <v>263</v>
      </c>
      <c r="C1" s="119" t="s">
        <v>362</v>
      </c>
    </row>
    <row r="2" spans="1:3" x14ac:dyDescent="0.3">
      <c r="A2" s="7" t="s">
        <v>128</v>
      </c>
      <c r="B2" s="72" t="s">
        <v>173</v>
      </c>
      <c r="C2" t="s">
        <v>112</v>
      </c>
    </row>
    <row r="3" spans="1:3" x14ac:dyDescent="0.3">
      <c r="A3" t="s">
        <v>142</v>
      </c>
      <c r="B3" s="72" t="s">
        <v>232</v>
      </c>
      <c r="C3" t="s">
        <v>111</v>
      </c>
    </row>
    <row r="4" spans="1:3" x14ac:dyDescent="0.3">
      <c r="A4" t="s">
        <v>148</v>
      </c>
      <c r="B4" s="72" t="s">
        <v>233</v>
      </c>
      <c r="C4" t="s">
        <v>113</v>
      </c>
    </row>
    <row r="5" spans="1:3" x14ac:dyDescent="0.3">
      <c r="A5" t="s">
        <v>149</v>
      </c>
      <c r="B5" s="72" t="s">
        <v>234</v>
      </c>
      <c r="C5" t="s">
        <v>89</v>
      </c>
    </row>
    <row r="6" spans="1:3" x14ac:dyDescent="0.3">
      <c r="A6" t="s">
        <v>143</v>
      </c>
      <c r="B6" s="72" t="s">
        <v>235</v>
      </c>
      <c r="C6" t="s">
        <v>90</v>
      </c>
    </row>
    <row r="7" spans="1:3" x14ac:dyDescent="0.3">
      <c r="A7" t="s">
        <v>144</v>
      </c>
      <c r="B7" s="72" t="s">
        <v>236</v>
      </c>
      <c r="C7" t="s">
        <v>91</v>
      </c>
    </row>
    <row r="8" spans="1:3" x14ac:dyDescent="0.3">
      <c r="A8" t="s">
        <v>145</v>
      </c>
      <c r="B8" s="72" t="s">
        <v>237</v>
      </c>
      <c r="C8" t="s">
        <v>118</v>
      </c>
    </row>
    <row r="9" spans="1:3" x14ac:dyDescent="0.3">
      <c r="A9" t="s">
        <v>147</v>
      </c>
      <c r="B9" s="72" t="s">
        <v>237</v>
      </c>
      <c r="C9" t="s">
        <v>115</v>
      </c>
    </row>
    <row r="10" spans="1:3" x14ac:dyDescent="0.3">
      <c r="A10" t="s">
        <v>121</v>
      </c>
      <c r="B10" s="73" t="s">
        <v>238</v>
      </c>
      <c r="C10" t="s">
        <v>92</v>
      </c>
    </row>
    <row r="11" spans="1:3" x14ac:dyDescent="0.3">
      <c r="A11" t="s">
        <v>125</v>
      </c>
      <c r="B11" s="74" t="s">
        <v>239</v>
      </c>
      <c r="C11" t="s">
        <v>93</v>
      </c>
    </row>
    <row r="12" spans="1:3" x14ac:dyDescent="0.3">
      <c r="A12" t="s">
        <v>130</v>
      </c>
      <c r="B12" s="73" t="s">
        <v>240</v>
      </c>
      <c r="C12" t="s">
        <v>87</v>
      </c>
    </row>
    <row r="13" spans="1:3" x14ac:dyDescent="0.3">
      <c r="A13" t="s">
        <v>126</v>
      </c>
      <c r="B13" s="72" t="s">
        <v>241</v>
      </c>
      <c r="C13" t="s">
        <v>119</v>
      </c>
    </row>
    <row r="14" spans="1:3" x14ac:dyDescent="0.3">
      <c r="A14" t="s">
        <v>124</v>
      </c>
      <c r="B14" s="72" t="s">
        <v>242</v>
      </c>
      <c r="C14" t="s">
        <v>76</v>
      </c>
    </row>
    <row r="15" spans="1:3" x14ac:dyDescent="0.3">
      <c r="A15" t="s">
        <v>122</v>
      </c>
      <c r="B15" s="72" t="s">
        <v>243</v>
      </c>
      <c r="C15" t="s">
        <v>74</v>
      </c>
    </row>
    <row r="16" spans="1:3" x14ac:dyDescent="0.3">
      <c r="A16" t="s">
        <v>123</v>
      </c>
      <c r="B16" s="72" t="s">
        <v>244</v>
      </c>
      <c r="C16" t="s">
        <v>75</v>
      </c>
    </row>
    <row r="17" spans="1:3" x14ac:dyDescent="0.3">
      <c r="A17" t="s">
        <v>141</v>
      </c>
      <c r="B17" s="72" t="s">
        <v>245</v>
      </c>
      <c r="C17" t="s">
        <v>106</v>
      </c>
    </row>
    <row r="18" spans="1:3" x14ac:dyDescent="0.3">
      <c r="A18" t="s">
        <v>146</v>
      </c>
      <c r="B18" s="72" t="s">
        <v>246</v>
      </c>
      <c r="C18" t="s">
        <v>104</v>
      </c>
    </row>
    <row r="19" spans="1:3" x14ac:dyDescent="0.3">
      <c r="A19" t="s">
        <v>138</v>
      </c>
      <c r="B19" s="72" t="s">
        <v>247</v>
      </c>
      <c r="C19" t="s">
        <v>103</v>
      </c>
    </row>
    <row r="20" spans="1:3" x14ac:dyDescent="0.3">
      <c r="A20" s="109" t="s">
        <v>129</v>
      </c>
      <c r="B20" s="72" t="s">
        <v>248</v>
      </c>
      <c r="C20" t="s">
        <v>105</v>
      </c>
    </row>
    <row r="21" spans="1:3" x14ac:dyDescent="0.3">
      <c r="A21" t="s">
        <v>173</v>
      </c>
      <c r="B21" s="72" t="s">
        <v>249</v>
      </c>
      <c r="C21" t="s">
        <v>73</v>
      </c>
    </row>
    <row r="22" spans="1:3" x14ac:dyDescent="0.3">
      <c r="A22" t="s">
        <v>136</v>
      </c>
      <c r="B22" s="72" t="s">
        <v>250</v>
      </c>
      <c r="C22" t="s">
        <v>107</v>
      </c>
    </row>
    <row r="23" spans="1:3" x14ac:dyDescent="0.3">
      <c r="A23" t="s">
        <v>151</v>
      </c>
      <c r="B23" s="72" t="s">
        <v>251</v>
      </c>
      <c r="C23" t="s">
        <v>101</v>
      </c>
    </row>
    <row r="24" spans="1:3" x14ac:dyDescent="0.3">
      <c r="A24" t="s">
        <v>153</v>
      </c>
      <c r="B24" s="72" t="s">
        <v>252</v>
      </c>
      <c r="C24" t="s">
        <v>98</v>
      </c>
    </row>
    <row r="25" spans="1:3" x14ac:dyDescent="0.3">
      <c r="A25" t="s">
        <v>154</v>
      </c>
      <c r="B25" s="72" t="s">
        <v>253</v>
      </c>
      <c r="C25" t="s">
        <v>99</v>
      </c>
    </row>
    <row r="26" spans="1:3" x14ac:dyDescent="0.3">
      <c r="A26" t="s">
        <v>152</v>
      </c>
      <c r="B26" s="72" t="s">
        <v>254</v>
      </c>
      <c r="C26" t="s">
        <v>97</v>
      </c>
    </row>
    <row r="27" spans="1:3" x14ac:dyDescent="0.3">
      <c r="A27" t="s">
        <v>139</v>
      </c>
      <c r="B27" s="72" t="s">
        <v>255</v>
      </c>
      <c r="C27" t="s">
        <v>95</v>
      </c>
    </row>
    <row r="28" spans="1:3" x14ac:dyDescent="0.3">
      <c r="A28" t="s">
        <v>140</v>
      </c>
      <c r="B28" s="72" t="s">
        <v>256</v>
      </c>
      <c r="C28" t="s">
        <v>96</v>
      </c>
    </row>
    <row r="29" spans="1:3" x14ac:dyDescent="0.3">
      <c r="A29" t="s">
        <v>150</v>
      </c>
      <c r="B29" s="72" t="s">
        <v>257</v>
      </c>
      <c r="C29" t="s">
        <v>100</v>
      </c>
    </row>
    <row r="30" spans="1:3" x14ac:dyDescent="0.3">
      <c r="A30" t="s">
        <v>229</v>
      </c>
      <c r="B30" s="72" t="s">
        <v>258</v>
      </c>
      <c r="C30" t="s">
        <v>102</v>
      </c>
    </row>
    <row r="31" spans="1:3" x14ac:dyDescent="0.3">
      <c r="A31" t="s">
        <v>133</v>
      </c>
      <c r="B31" s="72" t="s">
        <v>259</v>
      </c>
      <c r="C31" t="s">
        <v>116</v>
      </c>
    </row>
    <row r="32" spans="1:3" x14ac:dyDescent="0.3">
      <c r="A32" t="s">
        <v>132</v>
      </c>
      <c r="B32" s="72" t="s">
        <v>260</v>
      </c>
      <c r="C32" t="s">
        <v>117</v>
      </c>
    </row>
    <row r="33" spans="1:3" x14ac:dyDescent="0.3">
      <c r="A33" s="109" t="s">
        <v>127</v>
      </c>
      <c r="B33" s="72" t="s">
        <v>220</v>
      </c>
      <c r="C33" t="s">
        <v>88</v>
      </c>
    </row>
    <row r="34" spans="1:3" x14ac:dyDescent="0.3">
      <c r="A34" t="s">
        <v>131</v>
      </c>
      <c r="B34" s="72" t="s">
        <v>261</v>
      </c>
      <c r="C34" t="s">
        <v>94</v>
      </c>
    </row>
    <row r="35" spans="1:3" x14ac:dyDescent="0.3">
      <c r="A35" t="s">
        <v>227</v>
      </c>
      <c r="B35" s="72" t="s">
        <v>225</v>
      </c>
      <c r="C35" t="s">
        <v>72</v>
      </c>
    </row>
    <row r="36" spans="1:3" x14ac:dyDescent="0.3">
      <c r="A36" t="s">
        <v>228</v>
      </c>
      <c r="B36" s="72" t="s">
        <v>262</v>
      </c>
      <c r="C36" t="s">
        <v>108</v>
      </c>
    </row>
    <row r="37" spans="1:3" ht="15" thickBot="1" x14ac:dyDescent="0.35">
      <c r="A37" t="s">
        <v>134</v>
      </c>
      <c r="B37" s="75" t="s">
        <v>224</v>
      </c>
      <c r="C37" t="s">
        <v>85</v>
      </c>
    </row>
    <row r="38" spans="1:3" x14ac:dyDescent="0.3">
      <c r="A38" t="s">
        <v>226</v>
      </c>
      <c r="C38" t="s">
        <v>84</v>
      </c>
    </row>
    <row r="39" spans="1:3" x14ac:dyDescent="0.3">
      <c r="A39" t="s">
        <v>137</v>
      </c>
      <c r="C39" t="s">
        <v>86</v>
      </c>
    </row>
    <row r="40" spans="1:3" x14ac:dyDescent="0.3">
      <c r="A40" t="s">
        <v>135</v>
      </c>
      <c r="C40" t="s">
        <v>80</v>
      </c>
    </row>
    <row r="41" spans="1:3" x14ac:dyDescent="0.3">
      <c r="A41" t="s">
        <v>170</v>
      </c>
      <c r="C41" t="s">
        <v>78</v>
      </c>
    </row>
    <row r="42" spans="1:3" x14ac:dyDescent="0.3">
      <c r="A42" s="108" t="s">
        <v>230</v>
      </c>
      <c r="C42" t="s">
        <v>79</v>
      </c>
    </row>
    <row r="43" spans="1:3" x14ac:dyDescent="0.3">
      <c r="A43" t="s">
        <v>174</v>
      </c>
      <c r="C43" t="s">
        <v>77</v>
      </c>
    </row>
    <row r="44" spans="1:3" x14ac:dyDescent="0.3">
      <c r="A44" t="s">
        <v>175</v>
      </c>
      <c r="C44" t="s">
        <v>82</v>
      </c>
    </row>
    <row r="45" spans="1:3" x14ac:dyDescent="0.3">
      <c r="A45" t="s">
        <v>176</v>
      </c>
      <c r="C45" t="s">
        <v>81</v>
      </c>
    </row>
    <row r="46" spans="1:3" x14ac:dyDescent="0.3">
      <c r="A46" t="s">
        <v>177</v>
      </c>
      <c r="C46" t="s">
        <v>83</v>
      </c>
    </row>
    <row r="47" spans="1:3" x14ac:dyDescent="0.3">
      <c r="A47" t="s">
        <v>178</v>
      </c>
      <c r="C47" t="s">
        <v>110</v>
      </c>
    </row>
    <row r="48" spans="1:3" x14ac:dyDescent="0.3">
      <c r="A48" t="s">
        <v>179</v>
      </c>
    </row>
    <row r="49" spans="1:1" x14ac:dyDescent="0.3">
      <c r="A49" t="s">
        <v>180</v>
      </c>
    </row>
    <row r="50" spans="1:1" x14ac:dyDescent="0.3">
      <c r="A50" t="s">
        <v>181</v>
      </c>
    </row>
    <row r="51" spans="1:1" x14ac:dyDescent="0.3">
      <c r="A51" t="s">
        <v>182</v>
      </c>
    </row>
    <row r="52" spans="1:1" x14ac:dyDescent="0.3">
      <c r="A52" t="s">
        <v>183</v>
      </c>
    </row>
    <row r="53" spans="1:1" x14ac:dyDescent="0.3">
      <c r="A53" t="s">
        <v>184</v>
      </c>
    </row>
    <row r="54" spans="1:1" x14ac:dyDescent="0.3">
      <c r="A54" t="s">
        <v>185</v>
      </c>
    </row>
    <row r="55" spans="1:1" x14ac:dyDescent="0.3">
      <c r="A55" t="s">
        <v>186</v>
      </c>
    </row>
    <row r="56" spans="1:1" x14ac:dyDescent="0.3">
      <c r="A56" t="s">
        <v>187</v>
      </c>
    </row>
    <row r="57" spans="1:1" x14ac:dyDescent="0.3">
      <c r="A57" t="s">
        <v>188</v>
      </c>
    </row>
    <row r="58" spans="1:1" x14ac:dyDescent="0.3">
      <c r="A58" t="s">
        <v>189</v>
      </c>
    </row>
    <row r="59" spans="1:1" x14ac:dyDescent="0.3">
      <c r="A59" t="s">
        <v>190</v>
      </c>
    </row>
    <row r="60" spans="1:1" x14ac:dyDescent="0.3">
      <c r="A60" t="s">
        <v>191</v>
      </c>
    </row>
    <row r="61" spans="1:1" x14ac:dyDescent="0.3">
      <c r="A61" t="s">
        <v>192</v>
      </c>
    </row>
    <row r="62" spans="1:1" x14ac:dyDescent="0.3">
      <c r="A62" t="s">
        <v>193</v>
      </c>
    </row>
    <row r="63" spans="1:1" x14ac:dyDescent="0.3">
      <c r="A63" t="s">
        <v>194</v>
      </c>
    </row>
    <row r="64" spans="1:1" x14ac:dyDescent="0.3">
      <c r="A64" t="s">
        <v>195</v>
      </c>
    </row>
    <row r="65" spans="1:1" x14ac:dyDescent="0.3">
      <c r="A65" t="s">
        <v>196</v>
      </c>
    </row>
    <row r="66" spans="1:1" x14ac:dyDescent="0.3">
      <c r="A66" t="s">
        <v>197</v>
      </c>
    </row>
    <row r="67" spans="1:1" x14ac:dyDescent="0.3">
      <c r="A67" t="s">
        <v>198</v>
      </c>
    </row>
    <row r="68" spans="1:1" x14ac:dyDescent="0.3">
      <c r="A68" t="s">
        <v>199</v>
      </c>
    </row>
    <row r="69" spans="1:1" x14ac:dyDescent="0.3">
      <c r="A69" t="s">
        <v>200</v>
      </c>
    </row>
    <row r="70" spans="1:1" x14ac:dyDescent="0.3">
      <c r="A70" t="s">
        <v>201</v>
      </c>
    </row>
    <row r="71" spans="1:1" x14ac:dyDescent="0.3">
      <c r="A71" t="s">
        <v>202</v>
      </c>
    </row>
    <row r="72" spans="1:1" x14ac:dyDescent="0.3">
      <c r="A72" t="s">
        <v>203</v>
      </c>
    </row>
    <row r="73" spans="1:1" x14ac:dyDescent="0.3">
      <c r="A73" t="s">
        <v>204</v>
      </c>
    </row>
    <row r="74" spans="1:1" x14ac:dyDescent="0.3">
      <c r="A74" t="s">
        <v>205</v>
      </c>
    </row>
    <row r="75" spans="1:1" x14ac:dyDescent="0.3">
      <c r="A75" t="s">
        <v>206</v>
      </c>
    </row>
    <row r="76" spans="1:1" x14ac:dyDescent="0.3">
      <c r="A76" t="s">
        <v>207</v>
      </c>
    </row>
    <row r="77" spans="1:1" x14ac:dyDescent="0.3">
      <c r="A77" t="s">
        <v>208</v>
      </c>
    </row>
    <row r="78" spans="1:1" x14ac:dyDescent="0.3">
      <c r="A78" t="s">
        <v>209</v>
      </c>
    </row>
    <row r="79" spans="1:1" x14ac:dyDescent="0.3">
      <c r="A79" t="s">
        <v>210</v>
      </c>
    </row>
    <row r="80" spans="1:1" x14ac:dyDescent="0.3">
      <c r="A80" t="s">
        <v>211</v>
      </c>
    </row>
    <row r="81" spans="1:1" x14ac:dyDescent="0.3">
      <c r="A81" t="s">
        <v>212</v>
      </c>
    </row>
    <row r="82" spans="1:1" x14ac:dyDescent="0.3">
      <c r="A82" t="s">
        <v>213</v>
      </c>
    </row>
    <row r="83" spans="1:1" x14ac:dyDescent="0.3">
      <c r="A83" t="s">
        <v>214</v>
      </c>
    </row>
    <row r="84" spans="1:1" x14ac:dyDescent="0.3">
      <c r="A84" t="s">
        <v>215</v>
      </c>
    </row>
    <row r="85" spans="1:1" x14ac:dyDescent="0.3">
      <c r="A85" t="s">
        <v>216</v>
      </c>
    </row>
    <row r="86" spans="1:1" x14ac:dyDescent="0.3">
      <c r="A86" t="s">
        <v>217</v>
      </c>
    </row>
    <row r="87" spans="1:1" x14ac:dyDescent="0.3">
      <c r="A87" t="s">
        <v>218</v>
      </c>
    </row>
    <row r="88" spans="1:1" x14ac:dyDescent="0.3">
      <c r="A88" t="s">
        <v>219</v>
      </c>
    </row>
    <row r="89" spans="1:1" x14ac:dyDescent="0.3">
      <c r="A89" t="s">
        <v>220</v>
      </c>
    </row>
    <row r="90" spans="1:1" x14ac:dyDescent="0.3">
      <c r="A90" t="s">
        <v>221</v>
      </c>
    </row>
    <row r="91" spans="1:1" x14ac:dyDescent="0.3">
      <c r="A91" t="s">
        <v>222</v>
      </c>
    </row>
    <row r="92" spans="1:1" x14ac:dyDescent="0.3">
      <c r="A92" t="s">
        <v>223</v>
      </c>
    </row>
    <row r="93" spans="1:1" x14ac:dyDescent="0.3">
      <c r="A93" t="s">
        <v>224</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3D1C662-E505-478F-897E-BF2DD67BBE48}">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E3C3E4AA-1A99-4979-9577-189026931C97}">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4835795F-2D81-4DCB-9EE4-1CD47DA54D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Base protocolos</vt:lpstr>
      <vt:lpstr>PROTOCOLOS</vt:lpstr>
      <vt:lpstr>ORIENTAÇÕES</vt:lpstr>
      <vt:lpstr>RESPOSTAS PADRÃO</vt:lpstr>
      <vt:lpstr>PISO</vt:lpstr>
      <vt:lpstr>NORMAS</vt:lpstr>
      <vt:lpstr>NOMES EMPRESARIAIS</vt:lpstr>
      <vt:lpstr>CALC. HORAS</vt:lpstr>
      <vt:lpstr>Planilha2</vt:lpstr>
      <vt:lpstr>PISO_REF. </vt:lpstr>
      <vt:lpstr>RESPOSTAS</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Thais Camyla Cezar</dc:creator>
  <cp:lastModifiedBy>Lauro Otavio Urbano</cp:lastModifiedBy>
  <cp:lastPrinted>2026-04-27T19:39:40Z</cp:lastPrinted>
  <dcterms:created xsi:type="dcterms:W3CDTF">2025-12-01T11:23:23Z</dcterms:created>
  <dcterms:modified xsi:type="dcterms:W3CDTF">2026-05-29T20:26:13Z</dcterms:modified>
</cp:coreProperties>
</file>