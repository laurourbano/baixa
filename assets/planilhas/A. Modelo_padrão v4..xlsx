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:\CADASTRO\___DOCUMENTOS CADASTRO\Controle protocolos\"/>
    </mc:Choice>
  </mc:AlternateContent>
  <xr:revisionPtr revIDLastSave="0" documentId="13_ncr:1_{6A809B09-3596-449E-91F8-9D08B591880C}" xr6:coauthVersionLast="47" xr6:coauthVersionMax="47" xr10:uidLastSave="{00000000-0000-0000-0000-000000000000}"/>
  <bookViews>
    <workbookView xWindow="4350" yWindow="60" windowWidth="18000" windowHeight="9360" tabRatio="863" firstSheet="2" activeTab="8" xr2:uid="{F834ED4A-0D4D-4D5B-A724-DB0FFD0C5B2C}"/>
  </bookViews>
  <sheets>
    <sheet name="Base protocolos" sheetId="2" state="hidden" r:id="rId1"/>
    <sheet name="PROTOCOLOS" sheetId="1" r:id="rId2"/>
    <sheet name="ORIENTAÇÕES" sheetId="11" r:id="rId3"/>
    <sheet name="RESPOSTAS PADRÃO" sheetId="9" r:id="rId4"/>
    <sheet name="PISO" sheetId="16" r:id="rId5"/>
    <sheet name="NORMAS" sheetId="12" r:id="rId6"/>
    <sheet name="NOMES EMPRESARIAIS" sheetId="13" r:id="rId7"/>
    <sheet name="CALC. HORAS" sheetId="4" r:id="rId8"/>
    <sheet name="PISO_REF. " sheetId="3" r:id="rId9"/>
    <sheet name="listas" sheetId="20" state="hidden" r:id="rId10"/>
  </sheets>
  <externalReferences>
    <externalReference r:id="rId11"/>
    <externalReference r:id="rId12"/>
    <externalReference r:id="rId13"/>
    <externalReference r:id="rId14"/>
  </externalReferences>
  <definedNames>
    <definedName name="_xlnm._FilterDatabase" localSheetId="5" hidden="1">NORMAS!$B$2:$E$19</definedName>
    <definedName name="_xlnm._FilterDatabase" localSheetId="1" hidden="1">PROTOCOLOS!$A$1:$H$232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9" l="1"/>
  <c r="B15" i="13"/>
  <c r="B13" i="13"/>
  <c r="B11" i="13"/>
  <c r="B9" i="13"/>
  <c r="B5" i="13"/>
  <c r="D101" i="11"/>
  <c r="D99" i="11"/>
  <c r="D97" i="11"/>
  <c r="D90" i="11"/>
  <c r="D88" i="11"/>
  <c r="D86" i="11"/>
  <c r="D84" i="11"/>
  <c r="D82" i="11"/>
  <c r="D80" i="11"/>
  <c r="D78" i="11"/>
  <c r="D76" i="11"/>
  <c r="D74" i="11"/>
  <c r="D72" i="11"/>
  <c r="D70" i="11"/>
  <c r="D68" i="11"/>
  <c r="D66" i="11"/>
  <c r="D64" i="11"/>
  <c r="D62" i="11"/>
  <c r="D56" i="11"/>
  <c r="D54" i="11"/>
  <c r="D52" i="11"/>
  <c r="D50" i="11"/>
  <c r="D48" i="11"/>
  <c r="D46" i="11"/>
  <c r="D44" i="11"/>
  <c r="D42" i="11"/>
  <c r="D40" i="11"/>
  <c r="D38" i="11"/>
  <c r="D36" i="11"/>
  <c r="D30" i="11"/>
  <c r="D28" i="11"/>
  <c r="D26" i="11"/>
  <c r="D24" i="11"/>
  <c r="D22" i="11"/>
  <c r="D20" i="11"/>
  <c r="D18" i="11"/>
  <c r="D16" i="11"/>
  <c r="D14" i="11"/>
  <c r="D12" i="11"/>
  <c r="D10" i="11"/>
  <c r="D8" i="11"/>
  <c r="D6" i="11"/>
  <c r="D4" i="11"/>
  <c r="H9" i="16"/>
  <c r="Q4" i="16"/>
  <c r="O4" i="16"/>
  <c r="M4" i="16"/>
  <c r="K4" i="16"/>
  <c r="I4" i="16"/>
  <c r="I6" i="16" s="1"/>
  <c r="Q6" i="16" l="1"/>
  <c r="M6" i="16"/>
  <c r="K6" i="16"/>
  <c r="O6" i="16"/>
  <c r="O18" i="16" l="1"/>
  <c r="Q18" i="16"/>
  <c r="M18" i="16"/>
  <c r="I18" i="16"/>
  <c r="K18" i="16"/>
  <c r="E8" i="4"/>
  <c r="Q8" i="4"/>
  <c r="Q7" i="4"/>
  <c r="O8" i="4"/>
  <c r="O7" i="4"/>
  <c r="M8" i="4"/>
  <c r="M7" i="4"/>
  <c r="K8" i="4"/>
  <c r="I8" i="4"/>
  <c r="K7" i="4"/>
  <c r="I7" i="4"/>
  <c r="Q6" i="4"/>
  <c r="Q9" i="4" s="1"/>
  <c r="O6" i="4"/>
  <c r="M6" i="4"/>
  <c r="M9" i="4" s="1"/>
  <c r="K6" i="4"/>
  <c r="I6" i="4"/>
  <c r="I9" i="4" s="1"/>
  <c r="G8" i="4"/>
  <c r="G7" i="4"/>
  <c r="G6" i="4"/>
  <c r="E7" i="4"/>
  <c r="E6" i="4"/>
  <c r="E9" i="4" s="1"/>
  <c r="K9" i="4" l="1"/>
  <c r="G9" i="4"/>
  <c r="O9" i="4"/>
  <c r="F16" i="3"/>
  <c r="F14" i="3"/>
  <c r="F12" i="3"/>
  <c r="E10" i="4" l="1"/>
</calcChain>
</file>

<file path=xl/sharedStrings.xml><?xml version="1.0" encoding="utf-8"?>
<sst xmlns="http://schemas.openxmlformats.org/spreadsheetml/2006/main" count="430" uniqueCount="366">
  <si>
    <t>Situação</t>
  </si>
  <si>
    <t>Data</t>
  </si>
  <si>
    <t>INGRESSO DE RESPONSABILIDADE TECNICA (WEB)</t>
  </si>
  <si>
    <t>Ocorrência</t>
  </si>
  <si>
    <t>2ª VIA DE CARTEIRA DE IDENTIDADE PROFISSIONAL (WEB)</t>
  </si>
  <si>
    <t>2ª VIA DE CEDULA DE IDENTIDADE PROFISSIONAL (WEB)</t>
  </si>
  <si>
    <t>ALTERACAO DE HORARIO E/OU MODALIDADE (WEB)</t>
  </si>
  <si>
    <t>ALVARA DE AUTONOMO (WEB)</t>
  </si>
  <si>
    <t>AVERBACAO CONTRATUAL (WEB)</t>
  </si>
  <si>
    <t>BAIXA DE RESPONSABILIDADE TECNICA (WEB)</t>
  </si>
  <si>
    <t>CANCELAMENTO DE INSCRICAO - PF (WEB)</t>
  </si>
  <si>
    <t>CANCELAMENTO DE REGISTRO - PJ (WEB)</t>
  </si>
  <si>
    <t>CERTIDAO SIMPLIFICADA - ATUALIZACAO CADASTRAL (WEB)</t>
  </si>
  <si>
    <t>CRACHA DE IDENTIFICACAO (WEB)</t>
  </si>
  <si>
    <t>EFETIVACAO DE INSCRICAO PROVISORIA PARA DEFINITIVA (WEB)</t>
  </si>
  <si>
    <t>ESCALA DE ASSISTENCIA FARMACEUTICA (WEB)</t>
  </si>
  <si>
    <t>PRE INSCRICAO PF</t>
  </si>
  <si>
    <t>PRORROGACAO DE INSCRICAO PROVISORIA</t>
  </si>
  <si>
    <t>RENOVACAO DE CONTRATO (WEB)</t>
  </si>
  <si>
    <t>REQUER BAIXA DE INSCRICAO - PF</t>
  </si>
  <si>
    <t>REQUER EFETIVACAO DE INSCRIÇÃO PROVISORIA</t>
  </si>
  <si>
    <t>REQUER INSCRICAO DE NAO FARMACEUTICO</t>
  </si>
  <si>
    <t>REQUER INSCRICAO DEFINITIVA</t>
  </si>
  <si>
    <t>REQUER INSCRICAO POR TRANSFERENCIA</t>
  </si>
  <si>
    <t>REQUER INSCRICAO PROVISORIA</t>
  </si>
  <si>
    <t>REQUER INSCRICAO REMIDA (WEB)</t>
  </si>
  <si>
    <t>REQUER INSCRICAO SECUNDARIA</t>
  </si>
  <si>
    <t>REQUER PRORROGACAO INSCRICAO PROVISORIA</t>
  </si>
  <si>
    <t>REQUER REABILITACAO DE INSCRICAO DEFINITIVA</t>
  </si>
  <si>
    <t>REQUER REABILITACAO DE INSCRICAO POR TRANSFERENCIA</t>
  </si>
  <si>
    <t>REQUER REABILITACAO DE REGISTRO - PJ</t>
  </si>
  <si>
    <t>REQUER RECONSIDERACAO DO INDEF. DO REGISTRO - PJ</t>
  </si>
  <si>
    <t>REQUER REGISTRO - PJ</t>
  </si>
  <si>
    <t>SOLICITA ANOTACAO DE TITULO OU HABILITACAO PROFISSIONAL (WEB)</t>
  </si>
  <si>
    <t>SOLICITA CERTIDAO DE TRANSFERENCIA PARA OUTRO CRF (WEB)</t>
  </si>
  <si>
    <t>SOLICITA CERTIDAO PARA FINS DE INSCRICAO SECUNDARIA EM OUTRO CRF (WEB)</t>
  </si>
  <si>
    <t>SOLICITA DECLARACAO DE APTIDAO EM SERVICOS DE VACINACAO (WEB)</t>
  </si>
  <si>
    <t>Indeferido Por Conflito de Horário</t>
  </si>
  <si>
    <t>Indeferido Sem Resposta</t>
  </si>
  <si>
    <t>Indeferido Sem Documento</t>
  </si>
  <si>
    <t>Indeferido Por Diretor Técnico</t>
  </si>
  <si>
    <t>Indeferido Por Canal Incorreto</t>
  </si>
  <si>
    <t>Indeferido Sem Habilitacao</t>
  </si>
  <si>
    <t>Arquivado</t>
  </si>
  <si>
    <t>Finalizado</t>
  </si>
  <si>
    <t>Escala Indeferida Empresa Irregular</t>
  </si>
  <si>
    <t>Escala Indeferida Empresa Sem o RT</t>
  </si>
  <si>
    <t>Obs</t>
  </si>
  <si>
    <t>Atenção</t>
  </si>
  <si>
    <t>DIGITE O VALOR DO PISO / REFERÊNCIA (PISO HOMOLOGADO EM ACT):</t>
  </si>
  <si>
    <t>DIGITE A QUANTIDADE DE HORAS / REFERÊNCIA (PISO HOMOLOGADO EM ACT):</t>
  </si>
  <si>
    <t>VALOR DECLARADO EM CARTEIRA OU CONTRATO, CASO SEJA NECESSÁRIO</t>
  </si>
  <si>
    <t>SABER O TOTAL DE HORAS CORRESPONDENTE.</t>
  </si>
  <si>
    <t>RESULTADO R$</t>
  </si>
  <si>
    <t>HORAS</t>
  </si>
  <si>
    <t>VALOR POR HORA:</t>
  </si>
  <si>
    <t>DOM</t>
  </si>
  <si>
    <t>SEG</t>
  </si>
  <si>
    <t>TER</t>
  </si>
  <si>
    <t>QUA</t>
  </si>
  <si>
    <t>QUI</t>
  </si>
  <si>
    <t>SEX</t>
  </si>
  <si>
    <t>SÁB</t>
  </si>
  <si>
    <t>PRIMEIRO TURNO</t>
  </si>
  <si>
    <t>SEGUNDO TURNO</t>
  </si>
  <si>
    <t>INTERVALO</t>
  </si>
  <si>
    <t>SOMA DE HORAS</t>
  </si>
  <si>
    <t xml:space="preserve">TOTAL DE HORAS SEMANA </t>
  </si>
  <si>
    <t>1. Preencher somente as caixas pontilhadas. Os cálculos e preenchimentos das demais serão automáticos.</t>
  </si>
  <si>
    <t xml:space="preserve">2 - Caso o estabelecimento não possua intervalos, poderá preencher somente o primeiro turno. No entanto, dará erro de cálculo. Há problema? Não, </t>
  </si>
  <si>
    <t xml:space="preserve">3 - A planilha foi criada para informar todos os cálculos por períodos e os intervalos, facilitando até em casos de intervalos inferiores a 30 minutos. Ela sinaliza. </t>
  </si>
  <si>
    <t>caso queiram deixar certo poderão lançar algo como: 07:00 - 13:00 / 13:00 - 19:00.</t>
  </si>
  <si>
    <t>SOLICITAÇÃO DE CORREÇÃO</t>
  </si>
  <si>
    <t>INDEFERIMENTO</t>
  </si>
  <si>
    <t>FORMULÁRIOS - REQUERIMENTO DO ESTABELECIMENTO</t>
  </si>
  <si>
    <t>FORMULÁRIOS - TERMO DE COMPROMISSO</t>
  </si>
  <si>
    <t>FORMULÁRIOS - FORMULÁRIOS ANTIGOS</t>
  </si>
  <si>
    <t>VÍNCULO DE TRABALHO - CTPS</t>
  </si>
  <si>
    <t xml:space="preserve">VÍNCULO DE TRABALHO - CONTRATO </t>
  </si>
  <si>
    <t>VÍNCULO DE TRABALHO - CONTRATOS PÚBLICOS</t>
  </si>
  <si>
    <t>VÍNCULO DE TRABALHO - ALVARÁ</t>
  </si>
  <si>
    <t>VÍNCULO DE TRABALHO - E-Social</t>
  </si>
  <si>
    <t>VÍNCULO DE TRABALHO - DECLARAÇÃO DE LOTAÇÃO</t>
  </si>
  <si>
    <t>VÍNCULO DE TRABALHO - MEI</t>
  </si>
  <si>
    <t>TRANSFERÊNCIAS - GRUPO ECONÔMICO</t>
  </si>
  <si>
    <t>TRANSFERÊNCIAS - FILIAIS</t>
  </si>
  <si>
    <t>VÍNCULO ABERTO NA CTPS</t>
  </si>
  <si>
    <t>DECLAROU OUTRAS ATIVIDADES</t>
  </si>
  <si>
    <t xml:space="preserve">SALÁRIO ABAIXO DO PISO </t>
  </si>
  <si>
    <t>ASSINATURA COLADA</t>
  </si>
  <si>
    <t xml:space="preserve">ASSINATURAS DIGITAIS QUE NÃO VALIDAM </t>
  </si>
  <si>
    <t>ASSINATURAS DIGITAIS QUE NÃO VALIDAM - CONTRATOS PÚBLICOS</t>
  </si>
  <si>
    <t>DAP – ESTABELECIMENTO IRREGULAR</t>
  </si>
  <si>
    <t>DAP COBRINDO MAIS QUE 6 PROFISSIONAIS</t>
  </si>
  <si>
    <t>SEM INTERVALO DECLARADO</t>
  </si>
  <si>
    <t>PROTOCOLOS - ESTABELECIMENTO JÁ POSSUI DIRETOR TÉCNICO</t>
  </si>
  <si>
    <t>PROTOCOLOS - LABORATÓRIO COM INGRESSO DE DIRETOR COM HORÁRIO DECLARADO QUE NÃO COBRE TODO HORÁRIO DE FUNCIONAMENTO:</t>
  </si>
  <si>
    <t xml:space="preserve">PROTOCOLOS - DECLARAÇÃO DE ATIVIDADES DE ESTÉTICA </t>
  </si>
  <si>
    <t>PROTOCOLOS - CONFLITO DE HORÁRIOS (OUTRA FILIAL)</t>
  </si>
  <si>
    <t>PROTOCOLOS - CONFLITO DE HORÁRIOS (OUTRO ESTABELECIMENTO)</t>
  </si>
  <si>
    <t>PROTOCOLOS - POSSUI RT COMO SUBSTITUTO</t>
  </si>
  <si>
    <t>PROTOCOLOS -  QUER INGRESSAR COMO SUBSTITUTO, MAS TEM OUTRA RT</t>
  </si>
  <si>
    <t>REGISTRO IRREGULAR</t>
  </si>
  <si>
    <t>HABILITAÇÕES - HOSPITALAR</t>
  </si>
  <si>
    <t>HABILITAÇÕES - HOMEOPATIA</t>
  </si>
  <si>
    <t>HABILITAÇÕES - ONCOLOGIA</t>
  </si>
  <si>
    <t xml:space="preserve">HABILITAÇÕES - ESTÉTICA </t>
  </si>
  <si>
    <t>PROTOCOLO DE IRREGULAR – 209</t>
  </si>
  <si>
    <t>SOLICITAÇÃO DE ESCALA VIA E-MAIL</t>
  </si>
  <si>
    <t>Resposta Padrão:</t>
  </si>
  <si>
    <t>VÍNCULO DE TRABALHO - SEM APRESENTAR DOCUMENTOS (COMPLEMENTAR COM UMA OPÇÃO ABAIXO)</t>
  </si>
  <si>
    <t>ARQUIVAMENTO PROTOCOLO DUPLICADO</t>
  </si>
  <si>
    <t>ARQUIVAMENTO EMPRESA INCORRETA</t>
  </si>
  <si>
    <t>ARQUIVAMENTO RESPOSTA DE CORREÇÃO</t>
  </si>
  <si>
    <t>(Copiar a resposta abaixo e colar no parecer do SAGICON)</t>
  </si>
  <si>
    <t>CARGA HORÁRIA ACIMA DE 10 HORAS AO DIA</t>
  </si>
  <si>
    <t>RESPOSTAS ESCALAS DEFERIDAS</t>
  </si>
  <si>
    <t>RESPOSTAS ESCALAS INDEFERIDAS</t>
  </si>
  <si>
    <t>CANCELAMENTO DE REGISTRO PJ ANOTADO</t>
  </si>
  <si>
    <t xml:space="preserve">DOCUMENTOS PARA CANCELAR REGISTRO PJ </t>
  </si>
  <si>
    <t>Escala Indeferida Horário Divergente</t>
  </si>
  <si>
    <t>REQUERIMENTO DO ESTABELECIMENTO</t>
  </si>
  <si>
    <t>REQUERIMENTO DO ESTABELECIMENTO (Manipulação Alopática)</t>
  </si>
  <si>
    <t>REQUERIMENTO DO ESTABELECIMENTO (Manipulação Homeopática)</t>
  </si>
  <si>
    <t>REQUERIMENTO DO ESTABELECIMENTO (Manipulação Alopática e Homeopática)</t>
  </si>
  <si>
    <t>REQUERIMENTO DO ESTABELECIMENTO (Farmácia Hospitalar)</t>
  </si>
  <si>
    <t>REQUERIMENTO DO ESTABELECIMENTO (Laboratório Industrial / Controle de qualidade / Esterilização / De pesquisa)</t>
  </si>
  <si>
    <t>LANÇAMENTOS NO SAGICON e GED</t>
  </si>
  <si>
    <t>DOCUMENTOS</t>
  </si>
  <si>
    <t xml:space="preserve">SITUAÇÕES ESPECÍFICAS </t>
  </si>
  <si>
    <t>REQUERIMENTO DO ESTABELECIMENTO (Indústria)</t>
  </si>
  <si>
    <t>CRITÉRIOS DO AD REFERENDUM</t>
  </si>
  <si>
    <t>REGISTRO DE ESTABELECIMENTO</t>
  </si>
  <si>
    <t>REABILITAÇÃO DE REGISTRO PJ</t>
  </si>
  <si>
    <t>ANEXAR O ARQUIVO DO PROCEDIMENTO NO GED</t>
  </si>
  <si>
    <t>PROTOCOLO INTERNO DE AD REFERENDUM</t>
  </si>
  <si>
    <t>CONTRATO COM PRAZO DETERMINADO</t>
  </si>
  <si>
    <t>PADRÕES PARA SALVAR ARQUIVOS NO GED</t>
  </si>
  <si>
    <t>TERMO DE COMPROMISSO DO PROFISSIONAL</t>
  </si>
  <si>
    <t>MODALIDADE DAP</t>
  </si>
  <si>
    <t>MODALIDADE SUBSTITUTO</t>
  </si>
  <si>
    <t>REQUERIMENTO DO ESTABELECIMENTO (Posto de Coleta/Laboratório de Análises Clínicas)</t>
  </si>
  <si>
    <t>CONTRATO DE PRESTAÇÃO DE SERVIÇOS</t>
  </si>
  <si>
    <t>CTPS DIGITAL</t>
  </si>
  <si>
    <t>CTPS FÍSICA</t>
  </si>
  <si>
    <t>E-SOCIAL</t>
  </si>
  <si>
    <t>SERVIDOR PÚBLICO</t>
  </si>
  <si>
    <t>PROCESSO SELETIVO SIMPLIFICADO</t>
  </si>
  <si>
    <t>CONTRATO DE PRESTAÇÃO DE SERVIÇOS COM EMPRESA TERCEIRA PRIVADA</t>
  </si>
  <si>
    <t>CONTRATO POR CREDENCIAMENTO COM EMPRESAS TERCEIRA E ÓRGÃOS PÚBLICOS</t>
  </si>
  <si>
    <t>POSTO DE COLETA/LABORATÓRIO DE ANÁLISES CLÍNICAS</t>
  </si>
  <si>
    <t>HOSPITALAR</t>
  </si>
  <si>
    <t>MANIPULAÇÃO - SE HOUVER HOMEOPATIA</t>
  </si>
  <si>
    <t>INDÚSTRIA</t>
  </si>
  <si>
    <t>INGRESSO POR EMPRESA TERCEIRIZADA</t>
  </si>
  <si>
    <t>NORMA</t>
  </si>
  <si>
    <t>ÓRGÃO</t>
  </si>
  <si>
    <t>ASSUNTO</t>
  </si>
  <si>
    <t>ANVISA</t>
  </si>
  <si>
    <t>STJ</t>
  </si>
  <si>
    <t>CFQ</t>
  </si>
  <si>
    <t>CFF</t>
  </si>
  <si>
    <t>PLANALTO</t>
  </si>
  <si>
    <t>CURITIBA</t>
  </si>
  <si>
    <t>Boas Práticas de Farmacovigilância para Detentores de Registro de Medicamento de uso humano, e dá outras providências.</t>
  </si>
  <si>
    <t>Regulamenta o procedimento de fiscalização dos Conselhos Regionais de Farmácia e dá outras providências.</t>
  </si>
  <si>
    <t>RESOLUÇÃO Nº 2</t>
  </si>
  <si>
    <t>Regulamento de Fiscalização de Produtos de Uso Veterinário </t>
  </si>
  <si>
    <t>LINK</t>
  </si>
  <si>
    <t>LEI</t>
  </si>
  <si>
    <t>TRAMITAÇÃO DO PROTOCOLO PARA CONFERÊNCIA</t>
  </si>
  <si>
    <t>Venda de medicamentos por delivery</t>
  </si>
  <si>
    <t>Valores anuidade 2026</t>
  </si>
  <si>
    <t>CLÍNICA DE ESTÉTICA</t>
  </si>
  <si>
    <t>ARMAZENADORA DE MEDICAMENTOS E PRODUTOS PARA SAÚDE</t>
  </si>
  <si>
    <t>BANCO DE LEITE HUMANO</t>
  </si>
  <si>
    <t>CENTRAL DE ABASTECIMENTO FARMACÊUTICO</t>
  </si>
  <si>
    <t>CLÍNICA DE SERVIÇOS DE VACINAÇÃO</t>
  </si>
  <si>
    <t>CLÍNICA ESTÉTICA</t>
  </si>
  <si>
    <t>CONSULTÓRIO FARMACÊUTICO</t>
  </si>
  <si>
    <t>CONTROLE DE VETORES E PRAGAS URBANAS</t>
  </si>
  <si>
    <t>DISTRIBUIDOR/IMPORTADOR DE MEDICAMENTOS, COSMÉTICOS, PRODUTOS DE HIGIENE PESSOAL</t>
  </si>
  <si>
    <t>DISTRIBUIDOR/IMPORTADOR/EXPORTADOR DE COSMÉTICO</t>
  </si>
  <si>
    <t>DISTRIBUIDOR/IMPORTADOR/EXPORTADOR DE PRODUTOS PARA SAÚDE</t>
  </si>
  <si>
    <t>DISTRIBUIDOR/IMPORTADOR/EXPORTADOR DE MEDICAMENTOS</t>
  </si>
  <si>
    <t>EMPRESA ARMAZENADORA DE CORRELATOS</t>
  </si>
  <si>
    <t>EMPRESA ARMAZENADORA DE MEDICAMENTOS</t>
  </si>
  <si>
    <t>ERVANARIA</t>
  </si>
  <si>
    <t>FARMÁCIA COM MANIPULAÇÃO</t>
  </si>
  <si>
    <t>FARMÁCIA COM MANIPULAÇÃO ALOPÁTICA E HOMEOPÁTICA</t>
  </si>
  <si>
    <t>FARMÁCIA DE ASSISTÊNCIA DOMICILIAR</t>
  </si>
  <si>
    <t>FARMÁCIA EQUIVALENTE A HOSPITALAR</t>
  </si>
  <si>
    <t>FARMÁCIA HOMEOPÁTICA</t>
  </si>
  <si>
    <t>FARMÁCIA HOSPITALAR</t>
  </si>
  <si>
    <t>FARMÁCIA PRIVATIVA DE EMPRESA OU ASSOCIAÇAO</t>
  </si>
  <si>
    <t>FARMÁCIA SEM MANIPULAÇÃO OU DROGARIA</t>
  </si>
  <si>
    <t>IMPORTADOR/EXPORTADOR DE MEDICAMENTOS</t>
  </si>
  <si>
    <t>IMPORTADOR/EXPORTADOR DE PRODUTOS PARA SAÚDE</t>
  </si>
  <si>
    <t>INDÚSTRIA DE ALIMENTOS</t>
  </si>
  <si>
    <t>INDÚSTRIA DE ALIMENTOS FUNCIONAIS/ESPECIAIS</t>
  </si>
  <si>
    <t>INDÚSTRIA DE COSMÉTICOS/PERFUMARIA</t>
  </si>
  <si>
    <t>INDÚSTRIA DE INSUMOS</t>
  </si>
  <si>
    <t>INDÚSTRIA DE MEDICAMENTOS E OUTRAS INDÚSTRIAS</t>
  </si>
  <si>
    <t>INDÚSTRIA DE PRODUTOS FARMACOPEICOS/FITOTERÁPICOS</t>
  </si>
  <si>
    <t>INDÚSTRIA DE PRODUTOS PARA SAÚDE</t>
  </si>
  <si>
    <t>INDÚSTRIA DE SANEANTES</t>
  </si>
  <si>
    <t>INDÚSTRIA FARMACÊUTICA HOMEOPÁTICA</t>
  </si>
  <si>
    <t>LABORATÓRIO DE ANÁLISES CLÍNICAS</t>
  </si>
  <si>
    <t>LABORATÓRIO DE AGÊNCIA TRANSFUSIONAL</t>
  </si>
  <si>
    <t>LABORATÓRIO DE CONTROLE DE QUALIDADE</t>
  </si>
  <si>
    <t>LABORATÓRIO DE CONTROLE DE QUALIDADE/ANÁLISES BROMATOLÓGICAS</t>
  </si>
  <si>
    <t>LABORATÓRIO DE ESTERILIZAÇÃO</t>
  </si>
  <si>
    <t>LABORATÓRIO DE PESQUISA</t>
  </si>
  <si>
    <t>LABORATÓRIO DE PESQUISA/DESENVOLVIMENTO DE MEDICAMENTOS</t>
  </si>
  <si>
    <t>LABORATÓRIO INDUSTRIAL</t>
  </si>
  <si>
    <t>NASF</t>
  </si>
  <si>
    <t>OPERADOR LOGÍSTICO</t>
  </si>
  <si>
    <t>OUTRAS DISTRIBUIDORAS</t>
  </si>
  <si>
    <t>OUTRAS INDÚSTRIAS</t>
  </si>
  <si>
    <t>OUTROS LABORATÓRIOS</t>
  </si>
  <si>
    <t>POSTO DE COLETA</t>
  </si>
  <si>
    <t>PRESTAÇÃO DE SERVIÇOS FARMACÊUTICOS</t>
  </si>
  <si>
    <t>SERVIÇO DE ACUPUNTURA</t>
  </si>
  <si>
    <t>SERVIÇO DE HEMOTERAPIA/BANCO DE SANGUE</t>
  </si>
  <si>
    <t>TRANSPORTADORA</t>
  </si>
  <si>
    <t>PRESTADORA DE SERVIÇOS</t>
  </si>
  <si>
    <t>LANÇAMENTO DA SITUAÇÃO RESPONSÁVEL TÉCNICO CONFORME O VÍNCULO</t>
  </si>
  <si>
    <t>LANÇAMENTO DE status - PROTOCOLO FINALIZADO</t>
  </si>
  <si>
    <t>LANÇAMENTO DE status - PROTOCOLO IRREGULAR</t>
  </si>
  <si>
    <t>PROFISSIONAIS QUE POSSUEM OUTRA RT OU ATIVIDADE</t>
  </si>
  <si>
    <t>PRAZOS E ASSISTÊNCIA POR TIPOS DE ESTABELECIMENTO</t>
  </si>
  <si>
    <t>CRF</t>
  </si>
  <si>
    <t>DESINSETIZADORAS</t>
  </si>
  <si>
    <t>DISTRIBUIDORA - OUTRAS</t>
  </si>
  <si>
    <t>DISTRIBUIDORA DE CORRELATOS E PROD. SAÚDE</t>
  </si>
  <si>
    <t>DISTRIBUIDORA DE COSMÉTICOS E PERFUMARIA</t>
  </si>
  <si>
    <t>DISTRIBUIDORA MEDICAMENTOS, INSUMOS E DROGAS</t>
  </si>
  <si>
    <t>DISTRIBUIDORA OU C.A.F. - ORGÃO PÚBLICO</t>
  </si>
  <si>
    <t>FARMÁCIA - ORGÃO PÚBLICO - MUNICIPAIS</t>
  </si>
  <si>
    <t>FARMÁCIA - ORGÃO PÚBLICO - REGIONAL DE SAÚDE</t>
  </si>
  <si>
    <t>FARMÁCIA EQUIVALENTE HOSPITALAR - PRIVADA</t>
  </si>
  <si>
    <t>FARMÁCIA EQUIVALENTE HOSPITALAR ORGÃO PÚBLICO</t>
  </si>
  <si>
    <t>FARMÁCIA HOSPITALAR - ORGÃO PÚBLICO</t>
  </si>
  <si>
    <t>FARMÁCIA HOSPITALAR - PRIVADA</t>
  </si>
  <si>
    <t>FARMÁCIA SEM MANIPULAÇÃO - PROP. LEIGO</t>
  </si>
  <si>
    <t>FARMÁCIA SEM MANIPULAÇÃO PROP. FARMACÊUTICO</t>
  </si>
  <si>
    <t>FARMÁCIA SEM MANIPULAÇÃO PROP.OFICIAL FARM.</t>
  </si>
  <si>
    <t>FARMÁCIA COM MANIPULAÇÃO - PROP. FARMACEUTICO</t>
  </si>
  <si>
    <t>FARMÁCIA COM MANIPULAÇÃO - PROP. LEIGO</t>
  </si>
  <si>
    <t>FARMÁCIA HOMEOPÁTICA - PROP. FARMACÊUTICO</t>
  </si>
  <si>
    <t>FARMÁCIA HOMEOPÁTICA - PROP. LEIGO</t>
  </si>
  <si>
    <t>INDÚSTRIAS - OUTRAS</t>
  </si>
  <si>
    <t>INDÚSTRIAS DE CORRELATOS E PROD. SAÚDE</t>
  </si>
  <si>
    <t>INDÚSTRIAS DE COSMÉTICOS E PERFUMARIA</t>
  </si>
  <si>
    <t>INDÚSTRIAS DE MEDICAMENTOS, INSUMOS E DROGAS</t>
  </si>
  <si>
    <t>LABORATÓRIO - OUTROS</t>
  </si>
  <si>
    <t>LABORATÓRIO ANÁLISE CLÍNICAS - ORGÃO PÚBLICO</t>
  </si>
  <si>
    <t>LABORATÓRIO ANÁLISE CLÍNICAS - PROP. LEIGO</t>
  </si>
  <si>
    <t>LABORATÓRIO ANÁLISE CLÍNICAS PROP.FARMACÊUTICO</t>
  </si>
  <si>
    <t>LABORATÓRIO DE CONTROLE QUALIDADE</t>
  </si>
  <si>
    <t>OUTROS ESTABELECIMENTOS</t>
  </si>
  <si>
    <t>POSTO DE MEDICAMENTO</t>
  </si>
  <si>
    <t>SERVIÇOS EM SAÚDE E ESTÉTICA</t>
  </si>
  <si>
    <t xml:space="preserve">FARMÁCIA OU DROGARIA + (QUANDO TEM VARIAS FILIAIS - REDES/FRANQUIAS) BAIRRO ou NOME DA RUA ou NOME QUE IDENTIFIQUE    </t>
  </si>
  <si>
    <t>TIPO ESTABELECIMENTO</t>
  </si>
  <si>
    <t>Critérios e condições mínimas para o cumprimento das Boas Práticas Farmacêuticas para o controle sanitário do funcionamento, da dispensação e da comercialização de produtos e da prestação de serviços farmacêuticos em farmácias e drogarias</t>
  </si>
  <si>
    <t>Responsabilidade técnica por uma farmácia e uma drogaria ou por duas drogarias.</t>
  </si>
  <si>
    <t>Competência dos Profissionais da Química</t>
  </si>
  <si>
    <t>Inscrição, o registro, o cancelamento, a baixa e a averbação nos Conselhos Regionais de Farmácia</t>
  </si>
  <si>
    <t>Atividades econômicas de interesse à saúde, segundo a Classificação Nacional de Atividades (CNAE), que necessitam de análise e avaliação prévia pela Vigilância Sanitária Municipal para a emissão da Licença Sanitária no Município de Curitiba/PR.</t>
  </si>
  <si>
    <t>Licenciamento sanitário inicial e de renovação para os estabelecimentos de interesse a saúde pela Vigilância Sanitária Municipal</t>
  </si>
  <si>
    <t>PLANO DE FISCALIZAÇÃO ANUAL</t>
  </si>
  <si>
    <t>Fiscalização</t>
  </si>
  <si>
    <t>SÚMULA 413</t>
  </si>
  <si>
    <t>RESOLUÇÃO Nº 14 DE 22/08/2024</t>
  </si>
  <si>
    <t>RDC Nº 44 DE 17/08/2009</t>
  </si>
  <si>
    <t>RESOLUÇÃO Nº 724 DE 29/04/2022</t>
  </si>
  <si>
    <t>SESA</t>
  </si>
  <si>
    <t>RESOLUÇÃO Nº 590</t>
  </si>
  <si>
    <t>DELIBERAÇÃO 894/16</t>
  </si>
  <si>
    <t>DECRETO Nº 85.878 DE 7/04/1981</t>
  </si>
  <si>
    <t xml:space="preserve">Dispõe sobre o quadro de identificação do Farmacêutico. </t>
  </si>
  <si>
    <t xml:space="preserve">RESOLUÇÃO 18/2025 </t>
  </si>
  <si>
    <t>RESOLUÇÃO Nº 701 DE 26/02/2021</t>
  </si>
  <si>
    <t>RESOLUÇÃO Nº 5 DE 02/12/2025</t>
  </si>
  <si>
    <t>RESOLUÇÃO Nº 224 DE 18/12/2009</t>
  </si>
  <si>
    <t>LABORATÓRIOS</t>
  </si>
  <si>
    <t>VAREJISTA</t>
  </si>
  <si>
    <t>DISTRIBUIDORA</t>
  </si>
  <si>
    <t>INDÚSTRIAS</t>
  </si>
  <si>
    <t>Salário por hora</t>
  </si>
  <si>
    <t>VAREJISTA Salário ingresso (1º registro em carteira)</t>
  </si>
  <si>
    <t>RESOLUÇÃO Nº 700 DE 29/01/2021</t>
  </si>
  <si>
    <t>DECRETO Nº 8.448 DE 06/05/2015</t>
  </si>
  <si>
    <t>DECRETO Nº 5.053 DE 22/04/2004</t>
  </si>
  <si>
    <t>RDC Nº 887 DE 11/07/2024</t>
  </si>
  <si>
    <t>RDC Nº 870 DE 17/05/2024</t>
  </si>
  <si>
    <t>RDC Nº 406 DE 22/07/2020</t>
  </si>
  <si>
    <t>MENU DE DELIBERAÇÕES DO CRF-PR</t>
  </si>
  <si>
    <t>Deliberações</t>
  </si>
  <si>
    <t>Atribuições privativas dos profissionais farmacêuticos.</t>
  </si>
  <si>
    <t>Institui a Declaração de Atividade Profissional (DAP).</t>
  </si>
  <si>
    <t>Código de Ética, o Código de Processo Ético Farmacêutico.</t>
  </si>
  <si>
    <t>Notificação, o registro e as mudanças pós-registro de gases medicinais enquadrados como medicamentos.</t>
  </si>
  <si>
    <t>Digite o nome da cidade (sem acentos ou sinais)</t>
  </si>
  <si>
    <r>
      <t>(Quando realizar o REGISTRO no SAGICON, o padrão abaixo trata-se do</t>
    </r>
    <r>
      <rPr>
        <b/>
        <sz val="10"/>
        <color theme="1"/>
        <rFont val="Calibri"/>
        <family val="2"/>
        <scheme val="minor"/>
      </rPr>
      <t xml:space="preserve"> NOME FANTASIA</t>
    </r>
    <r>
      <rPr>
        <sz val="10"/>
        <color theme="1"/>
        <rFont val="Calibri"/>
        <family val="2"/>
        <scheme val="minor"/>
      </rPr>
      <t>)</t>
    </r>
  </si>
  <si>
    <t>PADRÃO A SER SEGUIDO:</t>
  </si>
  <si>
    <t>Para calcular o salário proporcional, informe a quantidade de horas semanais.</t>
  </si>
  <si>
    <t>PRE CADASTRO PJ</t>
  </si>
  <si>
    <t>ARMAZENADORA - MEDICAMENTOS E CORRELATOS</t>
  </si>
  <si>
    <t>BANCO DE ÓRGÃOS</t>
  </si>
  <si>
    <t>CENTRAL DE ABASTECIMENTO FARMACEUTICO</t>
  </si>
  <si>
    <t>CENTRAL DE ABASTECIMENTO HOSPITALAR</t>
  </si>
  <si>
    <t>CLÍNICA FARMACÊUTICA</t>
  </si>
  <si>
    <t>CONSULTORIO FARMACEUTICO</t>
  </si>
  <si>
    <t xml:space="preserve">DEPOSITO FECHADO </t>
  </si>
  <si>
    <t>DIST./IMP. MED.,COSM.,PROD. HIG. PESSOAL</t>
  </si>
  <si>
    <t>DISTRIBUIDOR/COMERCIO GASES MEDICINAIS</t>
  </si>
  <si>
    <t>DISTRIBUIDOR/IMPORT./EXPORT. CORRELATOS</t>
  </si>
  <si>
    <t>DISTRIBUIDOR/IMPORT./EXPORT. COSMETICO</t>
  </si>
  <si>
    <t>DISTRIBUIDOR/IMPORT./EXPORT. MEDICAMENTO</t>
  </si>
  <si>
    <t>EMPRESA ARMAZENADORA DE COSMÉTICOS</t>
  </si>
  <si>
    <t>EMPRESA DE CONSULTORIA</t>
  </si>
  <si>
    <t>FARMACIA COM MANIPULACAO</t>
  </si>
  <si>
    <t>FARMACIA COM MANIPULACAO ALOPATICA E HOM</t>
  </si>
  <si>
    <t>FARMACIA EQUIVALENTE A HOSPITALAR</t>
  </si>
  <si>
    <t>FARMACIA HOMEOPATICA</t>
  </si>
  <si>
    <t>FARMACIA HOSPITALAR</t>
  </si>
  <si>
    <t>FARMACIA PRIVATIVA EMPRESA/ASSOCIAÇAO</t>
  </si>
  <si>
    <t xml:space="preserve">FARMACIA SEM MANIPULAÇAO OU DROGARIA </t>
  </si>
  <si>
    <t>INDUSTRIA COSMETICOS/PERFUMARIA</t>
  </si>
  <si>
    <t>INDUSTRIA DE ALIMENTOS</t>
  </si>
  <si>
    <t>INDUSTRIA DE CORRELATOS</t>
  </si>
  <si>
    <t>INDUSTRIA DE INSUMOS</t>
  </si>
  <si>
    <t>INDUSTRIA DE PRODUTOS FARMACOPEICOS/FITO</t>
  </si>
  <si>
    <t>INDUSTRIA DE SANEANTES</t>
  </si>
  <si>
    <t>INDUSTRIA FARMACEUTICA</t>
  </si>
  <si>
    <t>INDUSTRIA FARMACEUTICA HOMEOPATICA</t>
  </si>
  <si>
    <t>LAB PESQUISA/DESENVOLVIMENTO MEDICAMENTO</t>
  </si>
  <si>
    <t>LAB. PESQUISA/DESENVOLVIMENTO PROD SAUDE</t>
  </si>
  <si>
    <t>LABORATORIO ANALISES CLINICAS</t>
  </si>
  <si>
    <t>LABORATORIO DE  ESTERILIZACAO</t>
  </si>
  <si>
    <t>LABORATORIO DE AGENCIA TRANSFUSIONAL</t>
  </si>
  <si>
    <t>LABORATORIO DE CONTROLE DE QUALIDADE</t>
  </si>
  <si>
    <t>LABORATORIO DE PESQUISA</t>
  </si>
  <si>
    <t>LABORATORIO INDUSTRIAL</t>
  </si>
  <si>
    <t>OUTRAS INDUSTRIAS</t>
  </si>
  <si>
    <t>OUTROS</t>
  </si>
  <si>
    <t>OUTROS - FARMACIA ASSISTENCIA DOMICILIAR</t>
  </si>
  <si>
    <t>OUTROS LABORATORIOS</t>
  </si>
  <si>
    <t>SERVIÇO DE HEMOTERAPIA/ BANCO DE SANGUE</t>
  </si>
  <si>
    <t>SOFTWARE</t>
  </si>
  <si>
    <t>FARMACEUTICO</t>
  </si>
  <si>
    <t>TECNICO</t>
  </si>
  <si>
    <t>Tipo Estab.</t>
  </si>
  <si>
    <t>Nome Estab.</t>
  </si>
  <si>
    <t xml:space="preserve">Nº Prot. </t>
  </si>
  <si>
    <t>Insc.</t>
  </si>
  <si>
    <t>Pendência documental</t>
  </si>
  <si>
    <t>Aguarda</t>
  </si>
  <si>
    <t>Correção interna</t>
  </si>
  <si>
    <t>Boas práticas de distribuição, armazenagem, transporte e dispensação de gases medicinais, e dá outras providências. </t>
  </si>
  <si>
    <t>LISTAS DE ORIENTAÇÕES</t>
  </si>
  <si>
    <t>RESPOSTAS PADRÃO</t>
  </si>
  <si>
    <t>Assistência técnica farmacêutica em distribuidoras, representantes, importadoras e exportadoras de medicamentos, insumos farmacêuticos e correlatos,</t>
  </si>
  <si>
    <t>RESOLUÇÃO Nº 14 DE 24/07/2025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</si>
</sst>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43" formatCode="_-* #,##0.00_-;\-* #,##0.00_-;_-* &quot;-&quot;??_-;_-@_-"/>
    <numFmt numFmtId="164" formatCode="&quot;R$&quot;\ #,##0.00"/>
    <numFmt numFmtId="165" formatCode="0.0"/>
    <numFmt numFmtId="166" formatCode="[h]:mm"/>
    <numFmt numFmtId="167" formatCode="h:mm;@"/>
  </numFmts>
  <fonts count="40" x14ac:knownFonts="1">
    <font>
      <sz val="11"/>
      <color theme="1"/>
      <name val="Calibri"/>
      <family val="2"/>
      <scheme val="minor"/>
    </font>
    <font>
      <sz val="10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0000FF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9" tint="0.79998168889431442"/>
      <name val="Calibri"/>
      <family val="2"/>
      <scheme val="minor"/>
    </font>
    <font>
      <b/>
      <sz val="24"/>
      <color theme="9" tint="0.79998168889431442"/>
      <name val="Calibri"/>
      <family val="2"/>
      <scheme val="minor"/>
    </font>
    <font>
      <b/>
      <sz val="18"/>
      <color theme="9" tint="0.7999816888943144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4"/>
      <color theme="9" tint="0.79998168889431442"/>
      <name val="Calibri"/>
      <family val="2"/>
      <scheme val="minor"/>
    </font>
    <font>
      <b/>
      <sz val="16"/>
      <color theme="9" tint="0.79998168889431442"/>
      <name val="Calibri"/>
      <family val="2"/>
      <scheme val="minor"/>
    </font>
    <font>
      <b/>
      <sz val="11"/>
      <color theme="9" tint="0.7999816888943144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Source Sans Pro"/>
      <family val="2"/>
    </font>
    <font>
      <sz val="11"/>
      <color rgb="FF333333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  <charset val="1"/>
    </font>
    <font>
      <b/>
      <sz val="11"/>
      <name val="Arial"/>
      <family val="2"/>
      <charset val="1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1C2C12"/>
      <name val="Calibri"/>
      <family val="2"/>
      <scheme val="minor"/>
    </font>
    <font>
      <u/>
      <sz val="11"/>
      <color rgb="FF1C2C12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2"/>
      <color theme="1"/>
      <name val="Segoe UI"/>
      <family val="2"/>
    </font>
    <font>
      <b/>
      <sz val="10"/>
      <color theme="1"/>
      <name val="Segoe UI"/>
      <family val="2"/>
    </font>
    <font>
      <b/>
      <sz val="16"/>
      <color theme="1"/>
      <name val="Segoe U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Segoe UI"/>
      <family val="2"/>
    </font>
    <font>
      <b/>
      <sz val="12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46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theme="2" tint="-0.24994659260841701"/>
      </right>
      <top style="medium">
        <color indexed="64"/>
      </top>
      <bottom style="dotted">
        <color theme="2" tint="-0.24994659260841701"/>
      </bottom>
      <diagonal/>
    </border>
    <border>
      <left style="dotted">
        <color theme="2" tint="-0.24994659260841701"/>
      </left>
      <right style="thin">
        <color auto="1"/>
      </right>
      <top style="medium">
        <color indexed="64"/>
      </top>
      <bottom style="dotted">
        <color theme="2" tint="-0.24994659260841701"/>
      </bottom>
      <diagonal/>
    </border>
    <border>
      <left style="medium">
        <color indexed="64"/>
      </left>
      <right style="dotted">
        <color theme="2" tint="-0.24994659260841701"/>
      </right>
      <top style="dotted">
        <color theme="2" tint="-0.24994659260841701"/>
      </top>
      <bottom style="medium">
        <color indexed="64"/>
      </bottom>
      <diagonal/>
    </border>
    <border>
      <left style="dotted">
        <color theme="2" tint="-0.24994659260841701"/>
      </left>
      <right style="thin">
        <color auto="1"/>
      </right>
      <top style="dotted">
        <color theme="2" tint="-0.2499465926084170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/>
      <top/>
      <bottom/>
      <diagonal/>
    </border>
    <border>
      <left/>
      <right/>
      <top style="thin">
        <color theme="0" tint="-0.14999847407452621"/>
      </top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tted">
        <color theme="2" tint="-0.24994659260841701"/>
      </left>
      <right style="medium">
        <color indexed="64"/>
      </right>
      <top style="medium">
        <color indexed="64"/>
      </top>
      <bottom style="dotted">
        <color theme="2" tint="-0.24994659260841701"/>
      </bottom>
      <diagonal/>
    </border>
    <border>
      <left style="dotted">
        <color theme="2" tint="-0.24994659260841701"/>
      </left>
      <right style="medium">
        <color indexed="64"/>
      </right>
      <top style="dotted">
        <color theme="2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6" fillId="0" borderId="0"/>
    <xf numFmtId="0" fontId="8" fillId="0" borderId="0" applyNumberFormat="0" applyFill="0" applyBorder="0" applyAlignment="0" applyProtection="0"/>
    <xf numFmtId="43" fontId="6" fillId="0" borderId="0" applyFont="0" applyFill="0" applyBorder="0" applyAlignment="0" applyProtection="0"/>
  </cellStyleXfs>
  <cellXfs count="170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8" borderId="0" xfId="0" applyFont="1" applyFill="1"/>
    <xf numFmtId="0" fontId="4" fillId="6" borderId="0" xfId="0" applyFont="1" applyFill="1"/>
    <xf numFmtId="0" fontId="4" fillId="9" borderId="0" xfId="0" applyFont="1" applyFill="1"/>
    <xf numFmtId="0" fontId="4" fillId="10" borderId="0" xfId="0" applyFont="1" applyFill="1"/>
    <xf numFmtId="0" fontId="9" fillId="4" borderId="0" xfId="1" applyFont="1" applyFill="1" applyAlignment="1">
      <alignment horizontal="left" vertical="center"/>
    </xf>
    <xf numFmtId="164" fontId="10" fillId="4" borderId="4" xfId="1" applyNumberFormat="1" applyFont="1" applyFill="1" applyBorder="1" applyAlignment="1">
      <alignment horizontal="center" vertical="center"/>
    </xf>
    <xf numFmtId="0" fontId="11" fillId="4" borderId="4" xfId="1" applyFont="1" applyFill="1" applyBorder="1" applyAlignment="1">
      <alignment horizontal="center" vertical="center"/>
    </xf>
    <xf numFmtId="164" fontId="12" fillId="4" borderId="5" xfId="1" applyNumberFormat="1" applyFont="1" applyFill="1" applyBorder="1" applyAlignment="1">
      <alignment horizontal="center" vertical="center"/>
    </xf>
    <xf numFmtId="165" fontId="13" fillId="4" borderId="5" xfId="1" applyNumberFormat="1" applyFont="1" applyFill="1" applyBorder="1" applyAlignment="1">
      <alignment horizontal="center" vertical="center"/>
    </xf>
    <xf numFmtId="164" fontId="14" fillId="4" borderId="5" xfId="1" applyNumberFormat="1" applyFont="1" applyFill="1" applyBorder="1" applyAlignment="1">
      <alignment horizontal="center" vertical="center"/>
    </xf>
    <xf numFmtId="0" fontId="4" fillId="3" borderId="0" xfId="1" applyFont="1" applyFill="1" applyAlignment="1">
      <alignment horizontal="left" vertical="center"/>
    </xf>
    <xf numFmtId="0" fontId="15" fillId="4" borderId="0" xfId="1" applyFont="1" applyFill="1" applyAlignment="1">
      <alignment horizontal="left" vertical="center"/>
    </xf>
    <xf numFmtId="0" fontId="4" fillId="4" borderId="0" xfId="1" applyFont="1" applyFill="1" applyAlignment="1">
      <alignment horizontal="left" vertical="center"/>
    </xf>
    <xf numFmtId="0" fontId="4" fillId="5" borderId="0" xfId="1" applyFont="1" applyFill="1" applyAlignment="1">
      <alignment horizontal="left" vertical="center"/>
    </xf>
    <xf numFmtId="0" fontId="15" fillId="4" borderId="0" xfId="1" applyFont="1" applyFill="1" applyAlignment="1">
      <alignment horizontal="center" vertical="center"/>
    </xf>
    <xf numFmtId="164" fontId="15" fillId="4" borderId="4" xfId="1" applyNumberFormat="1" applyFont="1" applyFill="1" applyBorder="1" applyAlignment="1">
      <alignment horizontal="center" vertical="center"/>
    </xf>
    <xf numFmtId="164" fontId="15" fillId="4" borderId="0" xfId="1" applyNumberFormat="1" applyFont="1" applyFill="1" applyAlignment="1">
      <alignment horizontal="left" vertical="center"/>
    </xf>
    <xf numFmtId="0" fontId="16" fillId="2" borderId="0" xfId="1" applyFont="1" applyFill="1" applyAlignment="1">
      <alignment horizontal="left" vertical="center"/>
    </xf>
    <xf numFmtId="0" fontId="4" fillId="2" borderId="0" xfId="1" applyFont="1" applyFill="1" applyAlignment="1">
      <alignment horizontal="left" vertical="center"/>
    </xf>
    <xf numFmtId="0" fontId="9" fillId="4" borderId="5" xfId="1" applyFont="1" applyFill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167" fontId="0" fillId="0" borderId="0" xfId="0" applyNumberFormat="1"/>
    <xf numFmtId="166" fontId="0" fillId="6" borderId="8" xfId="0" applyNumberFormat="1" applyFill="1" applyBorder="1" applyAlignment="1" applyProtection="1">
      <alignment horizontal="center" vertical="center"/>
      <protection locked="0"/>
    </xf>
    <xf numFmtId="166" fontId="0" fillId="6" borderId="9" xfId="0" applyNumberFormat="1" applyFill="1" applyBorder="1" applyAlignment="1" applyProtection="1">
      <alignment horizontal="center" vertical="center"/>
      <protection locked="0"/>
    </xf>
    <xf numFmtId="166" fontId="0" fillId="6" borderId="10" xfId="0" applyNumberFormat="1" applyFill="1" applyBorder="1" applyAlignment="1" applyProtection="1">
      <alignment horizontal="center" vertical="center"/>
      <protection locked="0"/>
    </xf>
    <xf numFmtId="166" fontId="0" fillId="6" borderId="11" xfId="0" applyNumberFormat="1" applyFill="1" applyBorder="1" applyAlignment="1" applyProtection="1">
      <alignment horizontal="center" vertical="center"/>
      <protection locked="0"/>
    </xf>
    <xf numFmtId="0" fontId="0" fillId="8" borderId="0" xfId="0" applyFill="1"/>
    <xf numFmtId="0" fontId="0" fillId="6" borderId="0" xfId="0" applyFill="1"/>
    <xf numFmtId="0" fontId="0" fillId="9" borderId="0" xfId="0" applyFill="1"/>
    <xf numFmtId="0" fontId="0" fillId="10" borderId="0" xfId="0" applyFill="1"/>
    <xf numFmtId="0" fontId="0" fillId="0" borderId="14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right"/>
    </xf>
    <xf numFmtId="0" fontId="18" fillId="0" borderId="0" xfId="0" applyFont="1"/>
    <xf numFmtId="0" fontId="18" fillId="0" borderId="0" xfId="0" applyFont="1" applyAlignment="1">
      <alignment horizontal="right"/>
    </xf>
    <xf numFmtId="14" fontId="18" fillId="0" borderId="0" xfId="0" applyNumberFormat="1" applyFont="1"/>
    <xf numFmtId="0" fontId="18" fillId="5" borderId="0" xfId="0" applyFont="1" applyFill="1"/>
    <xf numFmtId="0" fontId="19" fillId="0" borderId="0" xfId="0" applyFont="1" applyAlignment="1">
      <alignment horizontal="right"/>
    </xf>
    <xf numFmtId="0" fontId="5" fillId="0" borderId="0" xfId="0" applyFont="1"/>
    <xf numFmtId="0" fontId="18" fillId="5" borderId="0" xfId="0" applyFont="1" applyFill="1" applyAlignment="1">
      <alignment horizontal="right"/>
    </xf>
    <xf numFmtId="14" fontId="18" fillId="5" borderId="0" xfId="0" applyNumberFormat="1" applyFont="1" applyFill="1"/>
    <xf numFmtId="0" fontId="20" fillId="0" borderId="0" xfId="0" applyFont="1" applyAlignment="1">
      <alignment horizontal="right"/>
    </xf>
    <xf numFmtId="0" fontId="21" fillId="0" borderId="0" xfId="0" applyFont="1"/>
    <xf numFmtId="0" fontId="21" fillId="0" borderId="0" xfId="0" applyFont="1" applyAlignment="1">
      <alignment vertical="center"/>
    </xf>
    <xf numFmtId="0" fontId="18" fillId="11" borderId="0" xfId="0" applyFont="1" applyFill="1"/>
    <xf numFmtId="0" fontId="21" fillId="5" borderId="0" xfId="0" applyFont="1" applyFill="1"/>
    <xf numFmtId="0" fontId="4" fillId="0" borderId="18" xfId="0" applyFont="1" applyBorder="1"/>
    <xf numFmtId="0" fontId="21" fillId="5" borderId="0" xfId="0" applyFont="1" applyFill="1" applyAlignment="1">
      <alignment vertical="center"/>
    </xf>
    <xf numFmtId="0" fontId="24" fillId="0" borderId="0" xfId="0" applyFont="1"/>
    <xf numFmtId="0" fontId="4" fillId="0" borderId="15" xfId="0" applyFont="1" applyBorder="1"/>
    <xf numFmtId="0" fontId="21" fillId="0" borderId="0" xfId="0" applyFont="1" applyAlignment="1">
      <alignment horizontal="left" vertical="center" wrapText="1"/>
    </xf>
    <xf numFmtId="0" fontId="23" fillId="7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23" fillId="12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6" xfId="0" applyFont="1" applyBorder="1" applyAlignment="1">
      <alignment horizontal="center" vertical="center"/>
    </xf>
    <xf numFmtId="0" fontId="29" fillId="0" borderId="0" xfId="0" applyFont="1"/>
    <xf numFmtId="0" fontId="29" fillId="0" borderId="0" xfId="0" applyFont="1" applyAlignment="1">
      <alignment wrapText="1"/>
    </xf>
    <xf numFmtId="0" fontId="27" fillId="0" borderId="0" xfId="0" applyFont="1" applyAlignment="1">
      <alignment horizontal="left" vertical="center"/>
    </xf>
    <xf numFmtId="0" fontId="33" fillId="5" borderId="0" xfId="0" applyFont="1" applyFill="1" applyAlignment="1" applyProtection="1">
      <alignment horizontal="center"/>
      <protection locked="0"/>
    </xf>
    <xf numFmtId="0" fontId="33" fillId="5" borderId="0" xfId="0" applyFont="1" applyFill="1" applyProtection="1">
      <protection locked="0"/>
    </xf>
    <xf numFmtId="0" fontId="34" fillId="0" borderId="0" xfId="0" applyFont="1" applyAlignment="1" applyProtection="1">
      <alignment horizontal="center"/>
      <protection locked="0"/>
    </xf>
    <xf numFmtId="43" fontId="0" fillId="0" borderId="0" xfId="3" applyFont="1"/>
    <xf numFmtId="49" fontId="35" fillId="0" borderId="0" xfId="0" applyNumberFormat="1" applyFont="1" applyAlignment="1">
      <alignment vertical="center" wrapText="1"/>
    </xf>
    <xf numFmtId="0" fontId="35" fillId="0" borderId="0" xfId="0" applyFont="1" applyAlignment="1">
      <alignment horizontal="center"/>
    </xf>
    <xf numFmtId="0" fontId="23" fillId="0" borderId="0" xfId="0" applyFont="1"/>
    <xf numFmtId="0" fontId="35" fillId="0" borderId="0" xfId="0" applyFont="1"/>
    <xf numFmtId="43" fontId="32" fillId="0" borderId="0" xfId="3" applyFont="1" applyFill="1" applyAlignment="1" applyProtection="1">
      <alignment horizontal="center" vertical="center"/>
      <protection hidden="1"/>
    </xf>
    <xf numFmtId="0" fontId="25" fillId="0" borderId="28" xfId="0" applyFont="1" applyBorder="1" applyAlignment="1">
      <alignment horizontal="left"/>
    </xf>
    <xf numFmtId="0" fontId="25" fillId="0" borderId="28" xfId="0" applyFont="1" applyBorder="1" applyAlignment="1">
      <alignment vertical="center"/>
    </xf>
    <xf numFmtId="0" fontId="25" fillId="0" borderId="28" xfId="0" applyFont="1" applyBorder="1" applyAlignment="1">
      <alignment horizontal="left" vertical="center" wrapText="1"/>
    </xf>
    <xf numFmtId="0" fontId="25" fillId="0" borderId="30" xfId="0" applyFont="1" applyBorder="1" applyAlignment="1">
      <alignment horizontal="left"/>
    </xf>
    <xf numFmtId="0" fontId="31" fillId="8" borderId="0" xfId="0" applyFont="1" applyFill="1" applyAlignment="1">
      <alignment horizontal="center" vertical="center"/>
    </xf>
    <xf numFmtId="0" fontId="29" fillId="0" borderId="0" xfId="0" applyFont="1" applyAlignment="1">
      <alignment horizontal="center"/>
    </xf>
    <xf numFmtId="43" fontId="32" fillId="0" borderId="0" xfId="3" applyFont="1" applyFill="1" applyAlignment="1" applyProtection="1">
      <alignment vertical="top"/>
      <protection hidden="1"/>
    </xf>
    <xf numFmtId="0" fontId="21" fillId="0" borderId="0" xfId="0" applyFont="1" applyAlignment="1">
      <alignment horizontal="center" vertical="center" wrapText="1"/>
    </xf>
    <xf numFmtId="0" fontId="22" fillId="7" borderId="0" xfId="0" applyFont="1" applyFill="1" applyAlignment="1">
      <alignment horizontal="center" vertical="center" wrapText="1"/>
    </xf>
    <xf numFmtId="0" fontId="36" fillId="0" borderId="0" xfId="0" applyFont="1" applyAlignment="1">
      <alignment horizontal="left" vertical="center" wrapText="1"/>
    </xf>
    <xf numFmtId="0" fontId="36" fillId="0" borderId="0" xfId="0" applyFont="1" applyAlignment="1">
      <alignment horizontal="left" wrapText="1"/>
    </xf>
    <xf numFmtId="0" fontId="36" fillId="0" borderId="0" xfId="0" applyFont="1" applyAlignment="1">
      <alignment vertical="center" wrapText="1"/>
    </xf>
    <xf numFmtId="0" fontId="30" fillId="8" borderId="0" xfId="2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16" borderId="0" xfId="0" applyFill="1"/>
    <xf numFmtId="0" fontId="17" fillId="17" borderId="0" xfId="0" applyFont="1" applyFill="1" applyAlignment="1">
      <alignment horizontal="center"/>
    </xf>
    <xf numFmtId="0" fontId="0" fillId="17" borderId="0" xfId="0" applyFill="1"/>
    <xf numFmtId="0" fontId="0" fillId="17" borderId="0" xfId="0" applyFill="1" applyAlignment="1">
      <alignment horizontal="left"/>
    </xf>
    <xf numFmtId="0" fontId="4" fillId="17" borderId="0" xfId="0" applyFont="1" applyFill="1" applyAlignment="1">
      <alignment vertical="center"/>
    </xf>
    <xf numFmtId="0" fontId="18" fillId="17" borderId="0" xfId="0" applyFont="1" applyFill="1" applyAlignment="1">
      <alignment horizontal="left" vertical="center" wrapText="1"/>
    </xf>
    <xf numFmtId="0" fontId="4" fillId="0" borderId="24" xfId="0" applyFont="1" applyBorder="1" applyAlignment="1">
      <alignment horizontal="center" vertical="center"/>
    </xf>
    <xf numFmtId="0" fontId="0" fillId="7" borderId="0" xfId="0" applyFill="1" applyAlignment="1">
      <alignment vertical="center"/>
    </xf>
    <xf numFmtId="43" fontId="32" fillId="7" borderId="0" xfId="3" applyFont="1" applyFill="1" applyAlignment="1" applyProtection="1">
      <alignment vertical="center"/>
      <protection hidden="1"/>
    </xf>
    <xf numFmtId="7" fontId="32" fillId="7" borderId="0" xfId="3" applyNumberFormat="1" applyFont="1" applyFill="1" applyAlignment="1" applyProtection="1">
      <alignment horizontal="center" vertical="center"/>
      <protection hidden="1"/>
    </xf>
    <xf numFmtId="164" fontId="4" fillId="0" borderId="0" xfId="3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43" fontId="0" fillId="0" borderId="32" xfId="3" applyFont="1" applyBorder="1"/>
    <xf numFmtId="43" fontId="0" fillId="0" borderId="33" xfId="3" applyFont="1" applyBorder="1"/>
    <xf numFmtId="164" fontId="4" fillId="0" borderId="34" xfId="3" applyNumberFormat="1" applyFont="1" applyBorder="1" applyAlignment="1">
      <alignment horizontal="center" vertical="center"/>
    </xf>
    <xf numFmtId="43" fontId="32" fillId="0" borderId="0" xfId="3" applyFont="1" applyFill="1" applyBorder="1" applyAlignment="1" applyProtection="1">
      <alignment vertical="top"/>
      <protection hidden="1"/>
    </xf>
    <xf numFmtId="49" fontId="35" fillId="18" borderId="0" xfId="0" applyNumberFormat="1" applyFont="1" applyFill="1" applyAlignment="1">
      <alignment horizontal="center" vertical="center" wrapText="1"/>
    </xf>
    <xf numFmtId="0" fontId="17" fillId="19" borderId="0" xfId="0" applyFont="1" applyFill="1" applyAlignment="1">
      <alignment horizontal="center" vertical="center"/>
    </xf>
    <xf numFmtId="7" fontId="32" fillId="15" borderId="0" xfId="3" applyNumberFormat="1" applyFont="1" applyFill="1" applyAlignment="1" applyProtection="1">
      <alignment horizontal="center" vertical="center"/>
      <protection hidden="1"/>
    </xf>
    <xf numFmtId="0" fontId="0" fillId="20" borderId="0" xfId="0" applyFill="1" applyAlignment="1">
      <alignment horizontal="center"/>
    </xf>
    <xf numFmtId="0" fontId="0" fillId="20" borderId="0" xfId="0" applyFill="1"/>
    <xf numFmtId="0" fontId="17" fillId="20" borderId="0" xfId="0" applyFont="1" applyFill="1" applyAlignment="1">
      <alignment horizontal="center"/>
    </xf>
    <xf numFmtId="0" fontId="16" fillId="9" borderId="0" xfId="0" applyFont="1" applyFill="1" applyAlignment="1">
      <alignment horizontal="center" vertical="center" wrapText="1"/>
    </xf>
    <xf numFmtId="0" fontId="16" fillId="8" borderId="0" xfId="0" applyFont="1" applyFill="1" applyAlignment="1">
      <alignment horizontal="center" vertical="center" wrapText="1"/>
    </xf>
    <xf numFmtId="166" fontId="0" fillId="6" borderId="37" xfId="0" applyNumberFormat="1" applyFill="1" applyBorder="1" applyAlignment="1" applyProtection="1">
      <alignment horizontal="center" vertical="center"/>
      <protection locked="0"/>
    </xf>
    <xf numFmtId="166" fontId="0" fillId="6" borderId="38" xfId="0" applyNumberFormat="1" applyFill="1" applyBorder="1" applyAlignment="1" applyProtection="1">
      <alignment horizontal="center" vertical="center"/>
      <protection locked="0"/>
    </xf>
    <xf numFmtId="0" fontId="4" fillId="20" borderId="0" xfId="0" applyFont="1" applyFill="1"/>
    <xf numFmtId="0" fontId="4" fillId="0" borderId="16" xfId="0" applyFont="1" applyBorder="1"/>
    <xf numFmtId="0" fontId="4" fillId="0" borderId="17" xfId="0" applyFont="1" applyBorder="1"/>
    <xf numFmtId="0" fontId="4" fillId="0" borderId="19" xfId="0" applyFont="1" applyBorder="1"/>
    <xf numFmtId="0" fontId="39" fillId="3" borderId="1" xfId="0" applyFont="1" applyFill="1" applyBorder="1" applyAlignment="1">
      <alignment vertical="center" wrapText="1"/>
    </xf>
    <xf numFmtId="0" fontId="39" fillId="3" borderId="2" xfId="0" applyFont="1" applyFill="1" applyBorder="1" applyAlignment="1">
      <alignment vertical="center" wrapText="1"/>
    </xf>
    <xf numFmtId="0" fontId="39" fillId="3" borderId="3" xfId="0" applyFont="1" applyFill="1" applyBorder="1" applyAlignment="1">
      <alignment vertical="center" wrapText="1"/>
    </xf>
    <xf numFmtId="0" fontId="39" fillId="7" borderId="0" xfId="0" applyFont="1" applyFill="1" applyAlignment="1">
      <alignment vertical="center"/>
    </xf>
    <xf numFmtId="0" fontId="23" fillId="21" borderId="0" xfId="0" applyFont="1" applyFill="1" applyAlignment="1">
      <alignment horizontal="center" vertical="center"/>
    </xf>
    <xf numFmtId="0" fontId="26" fillId="21" borderId="27" xfId="0" applyFont="1" applyFill="1" applyBorder="1" applyAlignment="1">
      <alignment horizontal="left" vertical="center" wrapText="1"/>
    </xf>
    <xf numFmtId="0" fontId="8" fillId="8" borderId="0" xfId="2" applyFill="1" applyAlignment="1">
      <alignment horizontal="center"/>
    </xf>
    <xf numFmtId="0" fontId="32" fillId="5" borderId="0" xfId="0" applyFont="1" applyFill="1" applyAlignment="1" applyProtection="1">
      <alignment horizontal="center"/>
      <protection locked="0"/>
    </xf>
    <xf numFmtId="0" fontId="34" fillId="13" borderId="0" xfId="0" applyFont="1" applyFill="1" applyAlignment="1" applyProtection="1">
      <alignment horizontal="center" vertical="center"/>
      <protection locked="0"/>
    </xf>
    <xf numFmtId="0" fontId="0" fillId="14" borderId="0" xfId="0" applyFill="1" applyAlignment="1">
      <alignment horizontal="center"/>
    </xf>
    <xf numFmtId="49" fontId="37" fillId="18" borderId="0" xfId="0" applyNumberFormat="1" applyFont="1" applyFill="1" applyAlignment="1">
      <alignment horizontal="center" vertical="center" wrapText="1"/>
    </xf>
    <xf numFmtId="0" fontId="38" fillId="5" borderId="0" xfId="0" applyFont="1" applyFill="1" applyAlignment="1" applyProtection="1">
      <alignment horizontal="center"/>
      <protection locked="0"/>
    </xf>
    <xf numFmtId="0" fontId="24" fillId="8" borderId="31" xfId="0" applyFont="1" applyFill="1" applyBorder="1" applyAlignment="1">
      <alignment horizontal="center" vertical="center" wrapText="1"/>
    </xf>
    <xf numFmtId="0" fontId="24" fillId="8" borderId="0" xfId="0" applyFont="1" applyFill="1" applyAlignment="1">
      <alignment horizontal="center" vertical="center" wrapText="1"/>
    </xf>
    <xf numFmtId="0" fontId="27" fillId="7" borderId="0" xfId="0" applyFont="1" applyFill="1" applyAlignment="1">
      <alignment horizontal="center" vertical="center"/>
    </xf>
    <xf numFmtId="0" fontId="28" fillId="17" borderId="0" xfId="0" applyFont="1" applyFill="1" applyAlignment="1">
      <alignment horizontal="center" vertical="center" wrapText="1"/>
    </xf>
    <xf numFmtId="0" fontId="0" fillId="17" borderId="0" xfId="0" applyFill="1" applyAlignment="1">
      <alignment horizontal="center"/>
    </xf>
    <xf numFmtId="0" fontId="24" fillId="0" borderId="26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167" fontId="0" fillId="8" borderId="6" xfId="0" applyNumberFormat="1" applyFill="1" applyBorder="1" applyAlignment="1">
      <alignment horizontal="center" wrapText="1"/>
    </xf>
    <xf numFmtId="167" fontId="0" fillId="8" borderId="12" xfId="0" applyNumberFormat="1" applyFill="1" applyBorder="1" applyAlignment="1">
      <alignment horizontal="center" wrapText="1"/>
    </xf>
    <xf numFmtId="167" fontId="0" fillId="8" borderId="13" xfId="0" applyNumberFormat="1" applyFill="1" applyBorder="1" applyAlignment="1">
      <alignment horizontal="center" wrapText="1"/>
    </xf>
    <xf numFmtId="167" fontId="0" fillId="8" borderId="28" xfId="0" applyNumberFormat="1" applyFill="1" applyBorder="1" applyAlignment="1">
      <alignment horizontal="center" wrapText="1"/>
    </xf>
    <xf numFmtId="167" fontId="0" fillId="8" borderId="39" xfId="0" applyNumberFormat="1" applyFill="1" applyBorder="1" applyAlignment="1">
      <alignment horizontal="center" wrapText="1"/>
    </xf>
    <xf numFmtId="167" fontId="0" fillId="8" borderId="7" xfId="0" applyNumberFormat="1" applyFill="1" applyBorder="1" applyAlignment="1">
      <alignment horizontal="center" wrapText="1"/>
    </xf>
    <xf numFmtId="167" fontId="0" fillId="6" borderId="28" xfId="0" applyNumberFormat="1" applyFill="1" applyBorder="1" applyAlignment="1">
      <alignment horizontal="center" wrapText="1"/>
    </xf>
    <xf numFmtId="167" fontId="0" fillId="6" borderId="6" xfId="0" applyNumberFormat="1" applyFill="1" applyBorder="1" applyAlignment="1">
      <alignment horizontal="center" wrapText="1"/>
    </xf>
    <xf numFmtId="0" fontId="0" fillId="7" borderId="15" xfId="0" applyFill="1" applyBorder="1" applyAlignment="1">
      <alignment horizontal="center"/>
    </xf>
    <xf numFmtId="0" fontId="0" fillId="7" borderId="35" xfId="0" applyFill="1" applyBorder="1" applyAlignment="1">
      <alignment horizontal="center"/>
    </xf>
    <xf numFmtId="0" fontId="0" fillId="7" borderId="36" xfId="0" applyFill="1" applyBorder="1" applyAlignment="1">
      <alignment horizontal="center"/>
    </xf>
    <xf numFmtId="0" fontId="4" fillId="0" borderId="18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167" fontId="0" fillId="8" borderId="40" xfId="0" applyNumberFormat="1" applyFill="1" applyBorder="1" applyAlignment="1">
      <alignment horizontal="center" wrapText="1"/>
    </xf>
    <xf numFmtId="166" fontId="0" fillId="10" borderId="43" xfId="0" applyNumberFormat="1" applyFill="1" applyBorder="1" applyAlignment="1">
      <alignment horizontal="center" wrapText="1"/>
    </xf>
    <xf numFmtId="0" fontId="0" fillId="10" borderId="44" xfId="0" applyFill="1" applyBorder="1" applyAlignment="1">
      <alignment horizontal="center" wrapText="1"/>
    </xf>
    <xf numFmtId="0" fontId="0" fillId="10" borderId="45" xfId="0" applyFill="1" applyBorder="1" applyAlignment="1">
      <alignment horizontal="center" wrapText="1"/>
    </xf>
    <xf numFmtId="0" fontId="4" fillId="0" borderId="18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/>
    </xf>
    <xf numFmtId="167" fontId="0" fillId="9" borderId="41" xfId="0" applyNumberFormat="1" applyFill="1" applyBorder="1" applyAlignment="1">
      <alignment horizontal="center" wrapText="1"/>
    </xf>
    <xf numFmtId="167" fontId="0" fillId="9" borderId="23" xfId="0" applyNumberFormat="1" applyFill="1" applyBorder="1" applyAlignment="1">
      <alignment horizontal="center" wrapText="1"/>
    </xf>
    <xf numFmtId="167" fontId="0" fillId="6" borderId="29" xfId="0" applyNumberFormat="1" applyFill="1" applyBorder="1" applyAlignment="1">
      <alignment horizontal="center" wrapText="1"/>
    </xf>
    <xf numFmtId="167" fontId="0" fillId="9" borderId="42" xfId="0" applyNumberFormat="1" applyFill="1" applyBorder="1" applyAlignment="1">
      <alignment horizontal="center" wrapText="1"/>
    </xf>
    <xf numFmtId="0" fontId="0" fillId="7" borderId="17" xfId="0" applyFill="1" applyBorder="1" applyAlignment="1">
      <alignment horizontal="center"/>
    </xf>
    <xf numFmtId="167" fontId="0" fillId="8" borderId="29" xfId="0" applyNumberFormat="1" applyFill="1" applyBorder="1" applyAlignment="1">
      <alignment horizontal="center" wrapText="1"/>
    </xf>
  </cellXfs>
  <cellStyles count="4">
    <cellStyle name="Hiperlink" xfId="2" builtinId="8"/>
    <cellStyle name="Normal" xfId="0" builtinId="0"/>
    <cellStyle name="Normal 2" xfId="1" xr:uid="{B31F8449-2DC2-4A72-A7AC-00D29E3E8572}"/>
    <cellStyle name="Vírgula" xfId="3" builtinId="3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ill>
        <patternFill>
          <bgColor rgb="FF7030A0"/>
        </patternFill>
      </fill>
    </dxf>
    <dxf>
      <fill>
        <patternFill>
          <bgColor rgb="FF9C5BCD"/>
        </patternFill>
      </fill>
    </dxf>
    <dxf>
      <fill>
        <patternFill>
          <bgColor theme="7"/>
        </patternFill>
      </fill>
    </dxf>
    <dxf>
      <fill>
        <patternFill>
          <bgColor rgb="FFFFFF99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C49500"/>
        </patternFill>
      </fill>
    </dxf>
    <dxf>
      <fill>
        <patternFill>
          <bgColor rgb="FFB381D9"/>
        </patternFill>
      </fill>
    </dxf>
  </dxfs>
  <tableStyles count="0" defaultTableStyle="TableStyleMedium2" defaultPivotStyle="PivotStyleLight16"/>
  <colors>
    <mruColors>
      <color rgb="FFDFDFDF"/>
      <color rgb="FFDEDEDE"/>
      <color rgb="FFD9D9D9"/>
      <color rgb="FFE0E0E0"/>
      <color rgb="FFDDDDDD"/>
      <color rgb="FFBAECFC"/>
      <color rgb="FFDBDBDB"/>
      <color rgb="FF1C2C12"/>
      <color rgb="FF9C5BCD"/>
      <color rgb="FFA3E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0</xdr:rowOff>
    </xdr:to>
    <xdr:pic>
      <xdr:nvPicPr>
        <xdr:cNvPr id="2" name="formCadastrarProtocolo:j_idt97">
          <a:extLst>
            <a:ext uri="{FF2B5EF4-FFF2-40B4-BE49-F238E27FC236}">
              <a16:creationId xmlns:a16="http://schemas.microsoft.com/office/drawing/2014/main" id="{83AC7F47-AD24-B8EC-3E2A-1C6CAC16A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8325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0</xdr:colOff>
      <xdr:row>2</xdr:row>
      <xdr:rowOff>0</xdr:rowOff>
    </xdr:from>
    <xdr:ext cx="9525" cy="9525"/>
    <xdr:pic>
      <xdr:nvPicPr>
        <xdr:cNvPr id="3" name="formCadastrarProtocolo:j_idt97">
          <a:extLst>
            <a:ext uri="{FF2B5EF4-FFF2-40B4-BE49-F238E27FC236}">
              <a16:creationId xmlns:a16="http://schemas.microsoft.com/office/drawing/2014/main" id="{B70A8ACE-DA36-4600-8702-78BDCCF21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8225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0</xdr:rowOff>
    </xdr:to>
    <xdr:pic>
      <xdr:nvPicPr>
        <xdr:cNvPr id="4" name="formFirma:j_idt92">
          <a:extLst>
            <a:ext uri="{FF2B5EF4-FFF2-40B4-BE49-F238E27FC236}">
              <a16:creationId xmlns:a16="http://schemas.microsoft.com/office/drawing/2014/main" id="{345BC58C-614E-8EAF-B87B-19EEFB340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8225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0</xdr:rowOff>
    </xdr:to>
    <xdr:pic>
      <xdr:nvPicPr>
        <xdr:cNvPr id="5" name="formCadastrarProtocolo:j_idt93">
          <a:extLst>
            <a:ext uri="{FF2B5EF4-FFF2-40B4-BE49-F238E27FC236}">
              <a16:creationId xmlns:a16="http://schemas.microsoft.com/office/drawing/2014/main" id="{32C53CB2-C320-14C3-F5A1-8D6295045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2486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0</xdr:rowOff>
    </xdr:to>
    <xdr:pic>
      <xdr:nvPicPr>
        <xdr:cNvPr id="6" name="formFirma:j_idt92">
          <a:extLst>
            <a:ext uri="{FF2B5EF4-FFF2-40B4-BE49-F238E27FC236}">
              <a16:creationId xmlns:a16="http://schemas.microsoft.com/office/drawing/2014/main" id="{2844B9D5-E858-057F-5EEB-2AA9C1576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2676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0</xdr:rowOff>
    </xdr:to>
    <xdr:pic>
      <xdr:nvPicPr>
        <xdr:cNvPr id="7" name="formFirma:j_idt92">
          <a:extLst>
            <a:ext uri="{FF2B5EF4-FFF2-40B4-BE49-F238E27FC236}">
              <a16:creationId xmlns:a16="http://schemas.microsoft.com/office/drawing/2014/main" id="{C9A8DF38-79AE-4E7C-6639-CAD896679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6105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0</xdr:rowOff>
    </xdr:to>
    <xdr:pic>
      <xdr:nvPicPr>
        <xdr:cNvPr id="8" name="formCadastrarProtocolo:j_idt93">
          <a:extLst>
            <a:ext uri="{FF2B5EF4-FFF2-40B4-BE49-F238E27FC236}">
              <a16:creationId xmlns:a16="http://schemas.microsoft.com/office/drawing/2014/main" id="{06708B86-FE04-A6D5-106E-5AC337E2B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4025" y="6867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0</xdr:rowOff>
    </xdr:to>
    <xdr:pic>
      <xdr:nvPicPr>
        <xdr:cNvPr id="9" name="formCadastrarProtocolo:j_idt93">
          <a:extLst>
            <a:ext uri="{FF2B5EF4-FFF2-40B4-BE49-F238E27FC236}">
              <a16:creationId xmlns:a16="http://schemas.microsoft.com/office/drawing/2014/main" id="{5AF5F070-1B21-BFA4-CC63-9A379FC5A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4025" y="7058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19050</xdr:colOff>
      <xdr:row>1</xdr:row>
      <xdr:rowOff>0</xdr:rowOff>
    </xdr:from>
    <xdr:to>
      <xdr:col>5</xdr:col>
      <xdr:colOff>28575</xdr:colOff>
      <xdr:row>1</xdr:row>
      <xdr:rowOff>0</xdr:rowOff>
    </xdr:to>
    <xdr:pic>
      <xdr:nvPicPr>
        <xdr:cNvPr id="10" name="formCadastrarProtocolo:j_idt95">
          <a:extLst>
            <a:ext uri="{FF2B5EF4-FFF2-40B4-BE49-F238E27FC236}">
              <a16:creationId xmlns:a16="http://schemas.microsoft.com/office/drawing/2014/main" id="{D2CA397A-1809-A2B6-AF87-2F1109299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7058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</xdr:colOff>
      <xdr:row>1</xdr:row>
      <xdr:rowOff>0</xdr:rowOff>
    </xdr:from>
    <xdr:to>
      <xdr:col>5</xdr:col>
      <xdr:colOff>47625</xdr:colOff>
      <xdr:row>1</xdr:row>
      <xdr:rowOff>0</xdr:rowOff>
    </xdr:to>
    <xdr:pic>
      <xdr:nvPicPr>
        <xdr:cNvPr id="11" name="formCadastrarProtocolo:j_idt97">
          <a:extLst>
            <a:ext uri="{FF2B5EF4-FFF2-40B4-BE49-F238E27FC236}">
              <a16:creationId xmlns:a16="http://schemas.microsoft.com/office/drawing/2014/main" id="{3FCF7C99-5CB4-5F30-88E5-B91D411A5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25" y="7058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0</xdr:rowOff>
    </xdr:to>
    <xdr:pic>
      <xdr:nvPicPr>
        <xdr:cNvPr id="12" name="formCadastrarProtocolo:j_idt93">
          <a:extLst>
            <a:ext uri="{FF2B5EF4-FFF2-40B4-BE49-F238E27FC236}">
              <a16:creationId xmlns:a16="http://schemas.microsoft.com/office/drawing/2014/main" id="{12E1D41D-5FC7-E95C-EC47-626F330D6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4025" y="7629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0</xdr:rowOff>
    </xdr:to>
    <xdr:pic>
      <xdr:nvPicPr>
        <xdr:cNvPr id="13" name="formCadastrarProtocolo:j_idt93">
          <a:extLst>
            <a:ext uri="{FF2B5EF4-FFF2-40B4-BE49-F238E27FC236}">
              <a16:creationId xmlns:a16="http://schemas.microsoft.com/office/drawing/2014/main" id="{40E2C908-79D4-367E-734E-42F344B70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4025" y="8391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19050</xdr:colOff>
      <xdr:row>1</xdr:row>
      <xdr:rowOff>0</xdr:rowOff>
    </xdr:from>
    <xdr:to>
      <xdr:col>5</xdr:col>
      <xdr:colOff>28575</xdr:colOff>
      <xdr:row>1</xdr:row>
      <xdr:rowOff>0</xdr:rowOff>
    </xdr:to>
    <xdr:pic>
      <xdr:nvPicPr>
        <xdr:cNvPr id="14" name="formCadastrarProtocolo:j_idt95">
          <a:extLst>
            <a:ext uri="{FF2B5EF4-FFF2-40B4-BE49-F238E27FC236}">
              <a16:creationId xmlns:a16="http://schemas.microsoft.com/office/drawing/2014/main" id="{9D137704-29B2-F2E2-AB60-CFE9A787D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8391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</xdr:colOff>
      <xdr:row>1</xdr:row>
      <xdr:rowOff>0</xdr:rowOff>
    </xdr:from>
    <xdr:to>
      <xdr:col>5</xdr:col>
      <xdr:colOff>47625</xdr:colOff>
      <xdr:row>1</xdr:row>
      <xdr:rowOff>0</xdr:rowOff>
    </xdr:to>
    <xdr:pic>
      <xdr:nvPicPr>
        <xdr:cNvPr id="15" name="formCadastrarProtocolo:j_idt97">
          <a:extLst>
            <a:ext uri="{FF2B5EF4-FFF2-40B4-BE49-F238E27FC236}">
              <a16:creationId xmlns:a16="http://schemas.microsoft.com/office/drawing/2014/main" id="{227FAE0D-8223-A39D-EA69-78572AC11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25" y="8391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57150</xdr:colOff>
      <xdr:row>1</xdr:row>
      <xdr:rowOff>0</xdr:rowOff>
    </xdr:from>
    <xdr:to>
      <xdr:col>5</xdr:col>
      <xdr:colOff>66675</xdr:colOff>
      <xdr:row>1</xdr:row>
      <xdr:rowOff>0</xdr:rowOff>
    </xdr:to>
    <xdr:pic>
      <xdr:nvPicPr>
        <xdr:cNvPr id="16" name="formCadastrarProtocolo:j_idt99">
          <a:extLst>
            <a:ext uri="{FF2B5EF4-FFF2-40B4-BE49-F238E27FC236}">
              <a16:creationId xmlns:a16="http://schemas.microsoft.com/office/drawing/2014/main" id="{35B4B782-04A5-7907-35DD-696AC59B4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1175" y="8391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0</xdr:rowOff>
    </xdr:to>
    <xdr:pic>
      <xdr:nvPicPr>
        <xdr:cNvPr id="17" name="formCadastrarProtocolo:j_idt93">
          <a:extLst>
            <a:ext uri="{FF2B5EF4-FFF2-40B4-BE49-F238E27FC236}">
              <a16:creationId xmlns:a16="http://schemas.microsoft.com/office/drawing/2014/main" id="{519CA4B7-F318-E1DF-1C68-3C2B7104B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4025" y="858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19050</xdr:colOff>
      <xdr:row>1</xdr:row>
      <xdr:rowOff>0</xdr:rowOff>
    </xdr:from>
    <xdr:to>
      <xdr:col>5</xdr:col>
      <xdr:colOff>28575</xdr:colOff>
      <xdr:row>1</xdr:row>
      <xdr:rowOff>0</xdr:rowOff>
    </xdr:to>
    <xdr:pic>
      <xdr:nvPicPr>
        <xdr:cNvPr id="18" name="formCadastrarProtocolo:j_idt95">
          <a:extLst>
            <a:ext uri="{FF2B5EF4-FFF2-40B4-BE49-F238E27FC236}">
              <a16:creationId xmlns:a16="http://schemas.microsoft.com/office/drawing/2014/main" id="{F2476893-204F-4E0E-F40C-E67761E4B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858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</xdr:colOff>
      <xdr:row>1</xdr:row>
      <xdr:rowOff>0</xdr:rowOff>
    </xdr:from>
    <xdr:to>
      <xdr:col>5</xdr:col>
      <xdr:colOff>47625</xdr:colOff>
      <xdr:row>1</xdr:row>
      <xdr:rowOff>0</xdr:rowOff>
    </xdr:to>
    <xdr:pic>
      <xdr:nvPicPr>
        <xdr:cNvPr id="19" name="formCadastrarProtocolo:j_idt97">
          <a:extLst>
            <a:ext uri="{FF2B5EF4-FFF2-40B4-BE49-F238E27FC236}">
              <a16:creationId xmlns:a16="http://schemas.microsoft.com/office/drawing/2014/main" id="{F5436BB0-376D-52AC-ABC9-5DC6B2FF6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25" y="858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57150</xdr:colOff>
      <xdr:row>1</xdr:row>
      <xdr:rowOff>0</xdr:rowOff>
    </xdr:from>
    <xdr:to>
      <xdr:col>5</xdr:col>
      <xdr:colOff>66675</xdr:colOff>
      <xdr:row>1</xdr:row>
      <xdr:rowOff>0</xdr:rowOff>
    </xdr:to>
    <xdr:pic>
      <xdr:nvPicPr>
        <xdr:cNvPr id="20" name="formCadastrarProtocolo:j_idt99">
          <a:extLst>
            <a:ext uri="{FF2B5EF4-FFF2-40B4-BE49-F238E27FC236}">
              <a16:creationId xmlns:a16="http://schemas.microsoft.com/office/drawing/2014/main" id="{9332669A-757C-E433-4920-D23EBDBEB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1175" y="858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0</xdr:rowOff>
    </xdr:to>
    <xdr:pic>
      <xdr:nvPicPr>
        <xdr:cNvPr id="21" name="formFirma:j_idt92">
          <a:extLst>
            <a:ext uri="{FF2B5EF4-FFF2-40B4-BE49-F238E27FC236}">
              <a16:creationId xmlns:a16="http://schemas.microsoft.com/office/drawing/2014/main" id="{01E6BE3D-38EB-41BE-168F-65648FEDA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4025" y="8772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0</xdr:rowOff>
    </xdr:to>
    <xdr:pic>
      <xdr:nvPicPr>
        <xdr:cNvPr id="22" name="formFirma:j_idt92">
          <a:extLst>
            <a:ext uri="{FF2B5EF4-FFF2-40B4-BE49-F238E27FC236}">
              <a16:creationId xmlns:a16="http://schemas.microsoft.com/office/drawing/2014/main" id="{8D170D04-2BA2-EE22-8AEC-2A4D3790E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4025" y="896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0</xdr:rowOff>
    </xdr:to>
    <xdr:pic>
      <xdr:nvPicPr>
        <xdr:cNvPr id="23" name="formFirma:j_idt92">
          <a:extLst>
            <a:ext uri="{FF2B5EF4-FFF2-40B4-BE49-F238E27FC236}">
              <a16:creationId xmlns:a16="http://schemas.microsoft.com/office/drawing/2014/main" id="{BFE4B388-FFB8-264D-B4F2-887B71250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4025" y="9915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0</xdr:rowOff>
    </xdr:to>
    <xdr:pic>
      <xdr:nvPicPr>
        <xdr:cNvPr id="24" name="formFirma:j_idt92">
          <a:extLst>
            <a:ext uri="{FF2B5EF4-FFF2-40B4-BE49-F238E27FC236}">
              <a16:creationId xmlns:a16="http://schemas.microsoft.com/office/drawing/2014/main" id="{57612A95-8A83-0CD1-9B0C-EC357D1D4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4025" y="10296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0</xdr:rowOff>
    </xdr:to>
    <xdr:pic>
      <xdr:nvPicPr>
        <xdr:cNvPr id="25" name="formCadastrarProtocolo:j_idt93">
          <a:extLst>
            <a:ext uri="{FF2B5EF4-FFF2-40B4-BE49-F238E27FC236}">
              <a16:creationId xmlns:a16="http://schemas.microsoft.com/office/drawing/2014/main" id="{9821C1AB-3070-1954-D40D-0B2C6A35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4025" y="10677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19050</xdr:colOff>
      <xdr:row>1</xdr:row>
      <xdr:rowOff>0</xdr:rowOff>
    </xdr:from>
    <xdr:to>
      <xdr:col>5</xdr:col>
      <xdr:colOff>28575</xdr:colOff>
      <xdr:row>1</xdr:row>
      <xdr:rowOff>0</xdr:rowOff>
    </xdr:to>
    <xdr:pic>
      <xdr:nvPicPr>
        <xdr:cNvPr id="26" name="formCadastrarProtocolo:j_idt95">
          <a:extLst>
            <a:ext uri="{FF2B5EF4-FFF2-40B4-BE49-F238E27FC236}">
              <a16:creationId xmlns:a16="http://schemas.microsoft.com/office/drawing/2014/main" id="{310BB035-8A22-0E89-0B39-BA58B67C4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10677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0</xdr:rowOff>
    </xdr:to>
    <xdr:pic>
      <xdr:nvPicPr>
        <xdr:cNvPr id="27" name="formFirma:j_idt92">
          <a:extLst>
            <a:ext uri="{FF2B5EF4-FFF2-40B4-BE49-F238E27FC236}">
              <a16:creationId xmlns:a16="http://schemas.microsoft.com/office/drawing/2014/main" id="{0E0E8B27-B557-D572-074E-A59DBA211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4025" y="10868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0</xdr:rowOff>
    </xdr:to>
    <xdr:pic>
      <xdr:nvPicPr>
        <xdr:cNvPr id="28" name="formFirma:j_idt92">
          <a:extLst>
            <a:ext uri="{FF2B5EF4-FFF2-40B4-BE49-F238E27FC236}">
              <a16:creationId xmlns:a16="http://schemas.microsoft.com/office/drawing/2014/main" id="{34741002-3A55-4C35-E8D8-FD53F8FB1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4025" y="11058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0</xdr:rowOff>
    </xdr:to>
    <xdr:pic>
      <xdr:nvPicPr>
        <xdr:cNvPr id="29" name="formCadastrarProtocolo:j_idt93">
          <a:extLst>
            <a:ext uri="{FF2B5EF4-FFF2-40B4-BE49-F238E27FC236}">
              <a16:creationId xmlns:a16="http://schemas.microsoft.com/office/drawing/2014/main" id="{A6DF76E5-1E2B-C691-BFA0-EA62A933A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4025" y="12201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0</xdr:rowOff>
    </xdr:to>
    <xdr:pic>
      <xdr:nvPicPr>
        <xdr:cNvPr id="30" name="formFirma:j_idt92">
          <a:extLst>
            <a:ext uri="{FF2B5EF4-FFF2-40B4-BE49-F238E27FC236}">
              <a16:creationId xmlns:a16="http://schemas.microsoft.com/office/drawing/2014/main" id="{F1E61920-6D80-1AB3-EA84-BF868C377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4025" y="1277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0</xdr:rowOff>
    </xdr:to>
    <xdr:pic>
      <xdr:nvPicPr>
        <xdr:cNvPr id="31" name="formFirma:j_idt92">
          <a:extLst>
            <a:ext uri="{FF2B5EF4-FFF2-40B4-BE49-F238E27FC236}">
              <a16:creationId xmlns:a16="http://schemas.microsoft.com/office/drawing/2014/main" id="{1D77C7A5-FC44-4295-1B33-2AA8532E7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4025" y="13535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0</xdr:rowOff>
    </xdr:to>
    <xdr:pic>
      <xdr:nvPicPr>
        <xdr:cNvPr id="32" name="formFirma:j_idt92">
          <a:extLst>
            <a:ext uri="{FF2B5EF4-FFF2-40B4-BE49-F238E27FC236}">
              <a16:creationId xmlns:a16="http://schemas.microsoft.com/office/drawing/2014/main" id="{5EEFB1BB-ED2C-D11F-1ED2-214C9E166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4025" y="1429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0</xdr:rowOff>
    </xdr:to>
    <xdr:pic>
      <xdr:nvPicPr>
        <xdr:cNvPr id="33" name="formCadastrarProtocolo:j_idt93">
          <a:extLst>
            <a:ext uri="{FF2B5EF4-FFF2-40B4-BE49-F238E27FC236}">
              <a16:creationId xmlns:a16="http://schemas.microsoft.com/office/drawing/2014/main" id="{F328FFF7-90EA-16DE-9A33-92311A6AE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4025" y="14868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19050</xdr:colOff>
      <xdr:row>1</xdr:row>
      <xdr:rowOff>0</xdr:rowOff>
    </xdr:from>
    <xdr:to>
      <xdr:col>5</xdr:col>
      <xdr:colOff>28575</xdr:colOff>
      <xdr:row>1</xdr:row>
      <xdr:rowOff>0</xdr:rowOff>
    </xdr:to>
    <xdr:pic>
      <xdr:nvPicPr>
        <xdr:cNvPr id="34" name="formCadastrarProtocolo:j_idt95">
          <a:extLst>
            <a:ext uri="{FF2B5EF4-FFF2-40B4-BE49-F238E27FC236}">
              <a16:creationId xmlns:a16="http://schemas.microsoft.com/office/drawing/2014/main" id="{FFF41A09-1280-CA89-07C8-2277DC0BD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14868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</xdr:colOff>
      <xdr:row>1</xdr:row>
      <xdr:rowOff>0</xdr:rowOff>
    </xdr:from>
    <xdr:to>
      <xdr:col>5</xdr:col>
      <xdr:colOff>47625</xdr:colOff>
      <xdr:row>1</xdr:row>
      <xdr:rowOff>0</xdr:rowOff>
    </xdr:to>
    <xdr:pic>
      <xdr:nvPicPr>
        <xdr:cNvPr id="35" name="formCadastrarProtocolo:j_idt97">
          <a:extLst>
            <a:ext uri="{FF2B5EF4-FFF2-40B4-BE49-F238E27FC236}">
              <a16:creationId xmlns:a16="http://schemas.microsoft.com/office/drawing/2014/main" id="{4899CF74-7BB4-5FDE-49C0-1CFD1B797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25" y="14868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0</xdr:rowOff>
    </xdr:to>
    <xdr:pic>
      <xdr:nvPicPr>
        <xdr:cNvPr id="36" name="formCadastrarProtocolo:j_idt93">
          <a:extLst>
            <a:ext uri="{FF2B5EF4-FFF2-40B4-BE49-F238E27FC236}">
              <a16:creationId xmlns:a16="http://schemas.microsoft.com/office/drawing/2014/main" id="{8E439E76-948D-03AC-E586-8C1E12ADD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4025" y="15059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19050</xdr:colOff>
      <xdr:row>1</xdr:row>
      <xdr:rowOff>0</xdr:rowOff>
    </xdr:from>
    <xdr:to>
      <xdr:col>5</xdr:col>
      <xdr:colOff>28575</xdr:colOff>
      <xdr:row>1</xdr:row>
      <xdr:rowOff>0</xdr:rowOff>
    </xdr:to>
    <xdr:pic>
      <xdr:nvPicPr>
        <xdr:cNvPr id="37" name="formCadastrarProtocolo:j_idt95">
          <a:extLst>
            <a:ext uri="{FF2B5EF4-FFF2-40B4-BE49-F238E27FC236}">
              <a16:creationId xmlns:a16="http://schemas.microsoft.com/office/drawing/2014/main" id="{3DBC4BA0-47B2-60BD-C186-C2BD63FE7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15059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</xdr:colOff>
      <xdr:row>1</xdr:row>
      <xdr:rowOff>0</xdr:rowOff>
    </xdr:from>
    <xdr:to>
      <xdr:col>5</xdr:col>
      <xdr:colOff>47625</xdr:colOff>
      <xdr:row>1</xdr:row>
      <xdr:rowOff>0</xdr:rowOff>
    </xdr:to>
    <xdr:pic>
      <xdr:nvPicPr>
        <xdr:cNvPr id="38" name="formCadastrarProtocolo:j_idt97">
          <a:extLst>
            <a:ext uri="{FF2B5EF4-FFF2-40B4-BE49-F238E27FC236}">
              <a16:creationId xmlns:a16="http://schemas.microsoft.com/office/drawing/2014/main" id="{D57BB70B-DEAE-0E9D-2307-B6E359174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25" y="15059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9525</xdr:colOff>
      <xdr:row>1</xdr:row>
      <xdr:rowOff>0</xdr:rowOff>
    </xdr:to>
    <xdr:pic>
      <xdr:nvPicPr>
        <xdr:cNvPr id="39" name="formCadastrarProtocolo:j_idt93">
          <a:extLst>
            <a:ext uri="{FF2B5EF4-FFF2-40B4-BE49-F238E27FC236}">
              <a16:creationId xmlns:a16="http://schemas.microsoft.com/office/drawing/2014/main" id="{1A53A4D8-E7D3-A289-B3CB-1EB01E187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4025" y="1544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6</xdr:row>
      <xdr:rowOff>110474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88B36EC-6DC7-4585-973B-F6250DB4E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57425" cy="7010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CADASTRO\___DOCUMENTOS%20CADASTRO\Controle%20protocolos\A.%20Atualizador%20orienta&#231;&#245;es.xlsx" TargetMode="External"/><Relationship Id="rId1" Type="http://schemas.openxmlformats.org/officeDocument/2006/relationships/externalLinkPath" Target="A.%20Atualizador%20orienta&#231;&#245;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CADASTRO\___DOCUMENTOS%20CADASTRO\Controle%20protocolos\A.%20Atualizador%20Respostas%20Base.xlsx" TargetMode="External"/><Relationship Id="rId1" Type="http://schemas.openxmlformats.org/officeDocument/2006/relationships/externalLinkPath" Target="A.%20Atualizador%20Respostas%20Bas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CADASTRO\___DOCUMENTOS%20CADASTRO\Controle%20protocolos\A.%20Atualizador%20piso.xlsx" TargetMode="External"/><Relationship Id="rId1" Type="http://schemas.openxmlformats.org/officeDocument/2006/relationships/externalLinkPath" Target="A.%20Atualizador%20piso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CADASTRO\___DOCUMENTOS%20CADASTRO\Controle%20protocolos\A.%20Atualizador%20Nomes.xlsx" TargetMode="External"/><Relationship Id="rId1" Type="http://schemas.openxmlformats.org/officeDocument/2006/relationships/externalLinkPath" Target="A.%20Atualizador%20Nom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</sheetNames>
    <sheetDataSet>
      <sheetData sheetId="0">
        <row r="2">
          <cell r="A2" t="str">
            <v>CONTRATO DE PRESTAÇÃO DE SERVIÇOS</v>
          </cell>
          <cell r="B2" t="str">
            <v>Dados do contratante e contratado;</v>
          </cell>
          <cell r="C2" t="str">
            <v>Objeto do contrato condizente com atividade farmacêutica;</v>
          </cell>
          <cell r="D2" t="str">
            <v>Vigência mínima de 90 dias a partir da data do protocolo;</v>
          </cell>
          <cell r="E2" t="str">
            <v>Deve, obrigatoriamente conter a carga horária ou os horários de início e término, bem como os intervalos.</v>
          </cell>
          <cell r="F2" t="str">
            <v> Assinatura do contratante e contratado.</v>
          </cell>
          <cell r="G2" t="str">
            <v>Se carga horária superior a 6h/dia, sem intervalo, essa condição deverá constar expressamente no contrato, com a informação de que o profissional está ciente.</v>
          </cell>
          <cell r="H2" t="str">
            <v>Remuneração conforme o piso da região.</v>
          </cell>
          <cell r="I2" t="str">
            <v>Para escalas 12X36 (em farmácias e distribuidoras) apresentar Termo de Acordo entre empregador e o contratado. Nesta situação é obrigatório declarar intervalo.</v>
          </cell>
          <cell r="J2" t="str">
            <v>Alvará de Profissional Autônomo: dados do profissional;  atividade de farmacêutico ou área da saúde e dentro do prazo de validade, com assinatura do emissor ou código de validação.</v>
          </cell>
          <cell r="K2" t="str">
            <v>Nos casos de contrato com o município, não há necessidade de apresentação de alvará de autônomo.</v>
          </cell>
          <cell r="L2" t="str">
            <v>Carga horária e/ou horários igual ao declarado no declarado no Termo de Compromisso;</v>
          </cell>
          <cell r="M2" t="str">
            <v>*</v>
          </cell>
          <cell r="N2" t="str">
            <v>*</v>
          </cell>
          <cell r="O2" t="str">
            <v>*</v>
          </cell>
        </row>
        <row r="3">
          <cell r="A3" t="str">
            <v>CONTRATO DE PRESTAÇÃO DE SERVIÇOS COM EMPRESA TERCEIRA PRIVADA</v>
          </cell>
          <cell r="B3" t="str">
            <v>Dados do contratante e contratado.</v>
          </cell>
          <cell r="C3" t="str">
            <v>Objeto do contrato condizente com atividade farmacêutica</v>
          </cell>
          <cell r="D3" t="str">
            <v>Vigência mínima de 90 dias, da data do protocolo.</v>
          </cell>
          <cell r="E3" t="str">
            <v>Carga horária compatível com o declarado no Termo de Compromisso. </v>
          </cell>
          <cell r="F3" t="str">
            <v>Se carga horária superior a 6h/dia, sem intervalo, essa condição deverá constar expressamente no contrato, com a informação de que o profissional está ciente.</v>
          </cell>
          <cell r="G3" t="str">
            <v>Deve, obrigatoriamente conter a carga horária ou os horários de início e término, bem como os intervalos.</v>
          </cell>
          <cell r="H3" t="str">
            <v>Para escalas 12X36 (em farmácias e distribuidoras) apresentar Termo de Acordo entre empregador e o contratado. Nesta situação é obrigatório declarar intervalo.</v>
          </cell>
          <cell r="I3" t="str">
            <v> Assinatura do contratante e contratado.</v>
          </cell>
          <cell r="J3" t="str">
            <v> Contrato social da empresa terceirizada contendo o CNAE 8650-0/99</v>
          </cell>
          <cell r="K3" t="str">
            <v>Contratação do profissional com a empresa 3ª poderá ser por:</v>
          </cell>
          <cell r="L3" t="str">
            <v>CTPS FÍSICA + Declaração de lotação (expedida pela empresa terceira informando o local de lotação do profissional)</v>
          </cell>
          <cell r="M3" t="str">
            <v>CTPS DIGITAL + Declaração de lotação (expedida pela empresa terceira informando o local de lotação do profissional)</v>
          </cell>
          <cell r="N3" t="str">
            <v>Contrato de prestação de serviços e alvará de autônomo.</v>
          </cell>
          <cell r="O3" t="str">
            <v>Remuneração conforme o piso da região.</v>
          </cell>
        </row>
        <row r="4">
          <cell r="A4" t="str">
            <v>CONTRATO POR CREDENCIAMENTO COM EMPRESAS TERCEIRA E ÓRGÃOS PÚBLICOS</v>
          </cell>
          <cell r="B4" t="str">
            <v>Identificação das partes : Nome do órgão contratante, Nome da empresa credenciada (razão social), CNPJ, endereço e representante legal.</v>
          </cell>
          <cell r="C4" t="str">
            <v>Objeto do contrato condizente com atividade farmacêutica</v>
          </cell>
          <cell r="D4" t="str">
            <v>Condições: forma de execução, vigência do contrato, assinatura do contratante e contratado.</v>
          </cell>
          <cell r="E4" t="str">
            <v>Na contratação do profissional com a empresa terceira poderá ser:</v>
          </cell>
          <cell r="F4" t="str">
            <v>CTPS FÍSICA + Declaração de lotação (expedida pela empresa terceira informando o local de lotação do profissional)</v>
          </cell>
          <cell r="G4" t="str">
            <v>CTPS DIGITAL + Declaração de lotação (expedida pela empresa terceira informando o local de lotação do profissional)</v>
          </cell>
          <cell r="H4" t="str">
            <v>Contrato de prestação de serviços e alvará de autônomo.</v>
          </cell>
          <cell r="I4" t="str">
            <v>Vigência mínima de 90 dias, da data do protocolo.</v>
          </cell>
          <cell r="J4" t="str">
            <v>*</v>
          </cell>
          <cell r="K4" t="str">
            <v>*</v>
          </cell>
          <cell r="L4" t="str">
            <v>*</v>
          </cell>
          <cell r="M4" t="str">
            <v>*</v>
          </cell>
          <cell r="N4" t="str">
            <v>*</v>
          </cell>
          <cell r="O4" t="str">
            <v>*</v>
          </cell>
        </row>
        <row r="5">
          <cell r="A5" t="str">
            <v>CTPS DIGITAL</v>
          </cell>
          <cell r="B5" t="str">
            <v>Dados do profissional.</v>
          </cell>
          <cell r="C5" t="str">
            <v>Razão social e CNPJ.</v>
          </cell>
          <cell r="D5" t="str">
            <v>Cargo e CBO de farmacêutico ou equivalente de nível superior (que seja condizente ao ramo do estabelecimento).</v>
          </cell>
          <cell r="E5" t="str">
            <v>Remuneração conforme o piso da região.</v>
          </cell>
          <cell r="F5" t="str">
            <v>Verificar se possui outros vínculos em aberto na CTPS.</v>
          </cell>
          <cell r="G5" t="str">
            <v>*</v>
          </cell>
          <cell r="H5" t="str">
            <v>*</v>
          </cell>
          <cell r="I5" t="str">
            <v>*</v>
          </cell>
          <cell r="J5" t="str">
            <v>*</v>
          </cell>
          <cell r="K5" t="str">
            <v>*</v>
          </cell>
          <cell r="L5" t="str">
            <v>*</v>
          </cell>
          <cell r="M5" t="str">
            <v>*</v>
          </cell>
          <cell r="N5" t="str">
            <v>*</v>
          </cell>
          <cell r="O5" t="str">
            <v>*</v>
          </cell>
        </row>
        <row r="6">
          <cell r="A6" t="str">
            <v>CTPS FÍSICA</v>
          </cell>
          <cell r="B6" t="str">
            <v>Página da foto com assinatura.</v>
          </cell>
          <cell r="C6" t="str">
            <v>Página da qualificação civil (verso da foto).</v>
          </cell>
          <cell r="D6" t="str">
            <v>Contrato com o estabelecimento, contendo:</v>
          </cell>
          <cell r="E6" t="str">
            <v>Razão social e CNPJ.</v>
          </cell>
          <cell r="F6" t="str">
            <v>Cargo e CBO de farmacêutico (2234-05) ou equivalente de nível superior (que seja condizente ao ramo do estabelecimento).</v>
          </cell>
          <cell r="G6" t="str">
            <v>Remuneração conforme o piso da região e/ou página de atualização salarial.</v>
          </cell>
          <cell r="H6" t="str">
            <v>Assinatura do contratante.</v>
          </cell>
          <cell r="I6" t="str">
            <v>Caso seja transferência, apresentar também a página de anotação com a transferência.</v>
          </cell>
          <cell r="J6" t="str">
            <v>*</v>
          </cell>
          <cell r="K6" t="str">
            <v>*</v>
          </cell>
          <cell r="L6" t="str">
            <v>*</v>
          </cell>
          <cell r="M6" t="str">
            <v>*</v>
          </cell>
          <cell r="N6" t="str">
            <v>*</v>
          </cell>
          <cell r="O6" t="str">
            <v>*</v>
          </cell>
        </row>
        <row r="7">
          <cell r="A7" t="str">
            <v>E-SOCIAL</v>
          </cell>
          <cell r="B7" t="str">
            <v>Dados do profissional .</v>
          </cell>
          <cell r="C7" t="str">
            <v>Cargo e CBO de farmacêutico ou equivalente de nível superior (que seja condizente ao ramo do estabelecimento).</v>
          </cell>
          <cell r="D7" t="str">
            <v>Remuneração conforme o piso da região.</v>
          </cell>
          <cell r="E7" t="str">
            <v>Local de trabalho com CNPJ e razão social.</v>
          </cell>
          <cell r="F7" t="str">
            <v>Data da alteração, ou transferência (não pode ser superior a data do protocolo).</v>
          </cell>
          <cell r="G7" t="str">
            <v>*</v>
          </cell>
          <cell r="H7" t="str">
            <v>*</v>
          </cell>
          <cell r="I7" t="str">
            <v>*</v>
          </cell>
          <cell r="J7" t="str">
            <v>*</v>
          </cell>
          <cell r="K7" t="str">
            <v>*</v>
          </cell>
          <cell r="L7" t="str">
            <v>*</v>
          </cell>
          <cell r="M7" t="str">
            <v>*</v>
          </cell>
          <cell r="N7" t="str">
            <v>*</v>
          </cell>
          <cell r="O7" t="str">
            <v>*</v>
          </cell>
        </row>
        <row r="8">
          <cell r="A8" t="str">
            <v>PROCESSO SELETIVO SIMPLIFICADO</v>
          </cell>
          <cell r="B8" t="str">
            <v>Contratação por PSS poderá ocorrer através de:</v>
          </cell>
          <cell r="C8" t="str">
            <v>CTPS, neste caso, consultar o MENU &gt;&gt; CTPS DIGITAL.</v>
          </cell>
          <cell r="D8" t="str">
            <v>Contrato de Prestação de Serviços, neste caso, consultar o MENU &gt;&gt; CONTRATO DE PRESTAÇÃO DE SERVIÇOS.</v>
          </cell>
          <cell r="E8" t="str">
            <v>Ambas as modalidades de contratações, possuem contrato do Processo Seletivo, o qual deverá ser solicitado em caso de dúvidas.</v>
          </cell>
          <cell r="F8" t="str">
            <v>*</v>
          </cell>
          <cell r="G8" t="str">
            <v>*</v>
          </cell>
          <cell r="H8" t="str">
            <v>*</v>
          </cell>
          <cell r="I8" t="str">
            <v>*</v>
          </cell>
          <cell r="J8" t="str">
            <v>*</v>
          </cell>
          <cell r="K8" t="str">
            <v>*</v>
          </cell>
          <cell r="L8" t="str">
            <v>*</v>
          </cell>
          <cell r="M8" t="str">
            <v>*</v>
          </cell>
          <cell r="N8" t="str">
            <v>*</v>
          </cell>
          <cell r="O8" t="str">
            <v>*</v>
          </cell>
        </row>
        <row r="9">
          <cell r="A9" t="str">
            <v>REQUERIMENTO DO ESTABELECIMENTO</v>
          </cell>
          <cell r="B9" t="str">
            <v>Razão social.</v>
          </cell>
          <cell r="C9" t="str">
            <v>Nome fantasia.</v>
          </cell>
          <cell r="D9" t="str">
            <v>Dados de contato (endereço/telefone/e-mail).</v>
          </cell>
          <cell r="E9" t="str">
            <v>Verificar se selecionou - alteração de horário de funcionamento.</v>
          </cell>
          <cell r="F9" t="str">
            <v>Gerado pelo atual Diretor Técnico.</v>
          </cell>
          <cell r="G9" t="str">
            <v>Emitido nos últimos 30 dias anterior ao protocolo.</v>
          </cell>
          <cell r="H9" t="str">
            <v>Ramo de atividade igual ou alterado, se alterado, pedir alteração contratual com CNAE da atividade declarada.</v>
          </cell>
          <cell r="I9" t="str">
            <v>Códigos de validação legíveis.</v>
          </cell>
          <cell r="J9" t="str">
            <v>*</v>
          </cell>
          <cell r="K9" t="str">
            <v>*</v>
          </cell>
          <cell r="L9" t="str">
            <v>*</v>
          </cell>
          <cell r="M9" t="str">
            <v>*</v>
          </cell>
          <cell r="N9" t="str">
            <v>*</v>
          </cell>
          <cell r="O9" t="str">
            <v>*</v>
          </cell>
        </row>
        <row r="10">
          <cell r="A10" t="str">
            <v>REQUERIMENTO DO ESTABELECIMENTO (Farmácia Hospitalar)</v>
          </cell>
          <cell r="B10" t="str">
            <v>Razão social.</v>
          </cell>
          <cell r="C10" t="str">
            <v>Nome fantasia.</v>
          </cell>
          <cell r="D10" t="str">
            <v>Dados de contato (endereço/telefone/e-mail).</v>
          </cell>
          <cell r="E10" t="str">
            <v>Selecionado alteração de horário.</v>
          </cell>
          <cell r="F10" t="str">
            <v>Gerado pelo atual Diretor Técnico.</v>
          </cell>
          <cell r="G10" t="str">
            <v>Emitido nos últimos 30 dias anterior ao protocolo.</v>
          </cell>
          <cell r="H10" t="str">
            <v>Ramo de atividade igual ou alterado, se alterado, pedir alteração contratual com CNAE da atividade declarada.</v>
          </cell>
          <cell r="I10" t="str">
            <v>Códigos de validação legíveis.</v>
          </cell>
          <cell r="J10" t="str">
            <v>Tipo do estabelecimento.</v>
          </cell>
          <cell r="K10" t="str">
            <v>Especialidade.</v>
          </cell>
          <cell r="L10" t="str">
            <v>Número de leitos.</v>
          </cell>
          <cell r="M10" t="str">
            <v>Caso possua Oncologia ou Radiofarmácia deverá indicar o profissional habilitado na área.</v>
          </cell>
          <cell r="N10" t="str">
            <v>*</v>
          </cell>
          <cell r="O10" t="str">
            <v>*</v>
          </cell>
        </row>
        <row r="11">
          <cell r="A11" t="str">
            <v>REQUERIMENTO DO ESTABELECIMENTO (Indústria)</v>
          </cell>
          <cell r="B11" t="str">
            <v>Razão social.</v>
          </cell>
          <cell r="C11" t="str">
            <v>Nome fantasia.</v>
          </cell>
          <cell r="D11" t="str">
            <v>Dados de contato (endereço/telefone/e-mail).</v>
          </cell>
          <cell r="E11" t="str">
            <v>Selecionado alteração de horário.</v>
          </cell>
          <cell r="F11" t="str">
            <v>Gerado pelo atual Diretor Técnico.</v>
          </cell>
          <cell r="G11" t="str">
            <v>Emitido nos últimos 30 dias anterior ao protocolo.</v>
          </cell>
          <cell r="H11" t="str">
            <v>Ramo de atividade igual ou alterado, se alterado, pedir alteração contratual com CNAE da atividade declarada.</v>
          </cell>
          <cell r="I11" t="str">
            <v>Códigos de validação legíveis.</v>
          </cell>
          <cell r="J11" t="str">
            <v>Tipo de Indústria.</v>
          </cell>
          <cell r="K11" t="str">
            <v>Horário de produção.</v>
          </cell>
          <cell r="L11" t="str">
            <v>*</v>
          </cell>
          <cell r="M11" t="str">
            <v>*</v>
          </cell>
          <cell r="N11" t="str">
            <v>*</v>
          </cell>
          <cell r="O11" t="str">
            <v>*</v>
          </cell>
        </row>
        <row r="12">
          <cell r="A12" t="str">
            <v>REQUERIMENTO DO ESTABELECIMENTO (Laboratório Industrial / Controle de qualidade / Esterilização / De pesquisa)</v>
          </cell>
          <cell r="B12" t="str">
            <v>Razão social.</v>
          </cell>
          <cell r="C12" t="str">
            <v>Nome fantasia.</v>
          </cell>
          <cell r="D12" t="str">
            <v>Dados de contato (endereço/telefone/e-mail).</v>
          </cell>
          <cell r="E12" t="str">
            <v>Selecionado alteração de horário.</v>
          </cell>
          <cell r="F12" t="str">
            <v>Gerado pelo atual Diretor Técnico.</v>
          </cell>
          <cell r="G12" t="str">
            <v>Emitido nos últimos 30 dias anterior ao protocolo.</v>
          </cell>
          <cell r="H12" t="str">
            <v>Ramo de atividade igual ou alterado, se alterado, pedir alteração contratual com CNAE da atividade declarada.</v>
          </cell>
          <cell r="I12" t="str">
            <v>Códigos de validação legíveis.</v>
          </cell>
          <cell r="J12" t="str">
            <v>Tipo de Laboratório.</v>
          </cell>
          <cell r="K12" t="str">
            <v>Horário de produção.</v>
          </cell>
          <cell r="L12" t="str">
            <v>*</v>
          </cell>
          <cell r="M12" t="str">
            <v>*</v>
          </cell>
          <cell r="N12" t="str">
            <v>*</v>
          </cell>
          <cell r="O12" t="str">
            <v>*</v>
          </cell>
        </row>
        <row r="13">
          <cell r="A13" t="str">
            <v>REQUERIMENTO DO ESTABELECIMENTO (Manipulação Alopática e Homeopática)</v>
          </cell>
          <cell r="B13" t="str">
            <v>Razão social.</v>
          </cell>
          <cell r="C13" t="str">
            <v>Nome fantasia.</v>
          </cell>
          <cell r="D13" t="str">
            <v>Dados de contato (endereço/telefone/e-mail).</v>
          </cell>
          <cell r="E13" t="str">
            <v>Selecionado alteração de horário.</v>
          </cell>
          <cell r="F13" t="str">
            <v>Gerado pelo atual Diretor Técnico.</v>
          </cell>
          <cell r="G13" t="str">
            <v>Emitido nos últimos 30 dias anterior ao protocolo.</v>
          </cell>
          <cell r="H13" t="str">
            <v>Ramo de atividade igual ou alterado, se alterado, pedir alteração contratual com CNAE da atividade declarada.</v>
          </cell>
          <cell r="I13" t="str">
            <v>Códigos de validação legíveis.</v>
          </cell>
          <cell r="J13" t="str">
            <v>Verificar se está assinalado “alopatia e homeopatia”.</v>
          </cell>
          <cell r="K13" t="str">
            <v>Verificar o preenchimento do horário de cada laboratório e se foi informado o profissional responsável.</v>
          </cell>
          <cell r="L13" t="str">
            <v>Verificar se o profissional informado na homeopatia possui habilitação.</v>
          </cell>
          <cell r="M13" t="str">
            <v>*</v>
          </cell>
          <cell r="N13" t="str">
            <v>*</v>
          </cell>
          <cell r="O13" t="str">
            <v>*</v>
          </cell>
        </row>
        <row r="14">
          <cell r="A14" t="str">
            <v>REQUERIMENTO DO ESTABELECIMENTO (Manipulação Alopática)</v>
          </cell>
          <cell r="B14" t="str">
            <v>Razão social.</v>
          </cell>
          <cell r="C14" t="str">
            <v>Nome fantasia.</v>
          </cell>
          <cell r="D14" t="str">
            <v>Dados de contato (endereço/telefone/e-mail).</v>
          </cell>
          <cell r="E14" t="str">
            <v>Selecionado alteração de horário.</v>
          </cell>
          <cell r="F14" t="str">
            <v>Gerado pelo atual Diretor Técnico.</v>
          </cell>
          <cell r="G14" t="str">
            <v>Emitido nos últimos 30 dias anterior ao protocolo.</v>
          </cell>
          <cell r="H14" t="str">
            <v>Ramo de atividade igual ou alterado, se alterado, pedir alteração contratual com CNAE da atividade declarada.</v>
          </cell>
          <cell r="I14" t="str">
            <v>Códigos de validação legíveis.</v>
          </cell>
          <cell r="J14" t="str">
            <v>Verificar se está assinalado “alopatia”.</v>
          </cell>
          <cell r="K14" t="str">
            <v>*</v>
          </cell>
          <cell r="L14" t="str">
            <v>*</v>
          </cell>
          <cell r="M14" t="str">
            <v>*</v>
          </cell>
          <cell r="N14" t="str">
            <v>*</v>
          </cell>
          <cell r="O14" t="str">
            <v>*</v>
          </cell>
        </row>
        <row r="15">
          <cell r="A15" t="str">
            <v>REQUERIMENTO DO ESTABELECIMENTO (Manipulação Homeopática)</v>
          </cell>
          <cell r="B15" t="str">
            <v>Razão social.</v>
          </cell>
          <cell r="C15" t="str">
            <v>Nome fantasia.</v>
          </cell>
          <cell r="D15" t="str">
            <v>Dados de contato (endereço/telefone/e-mail).</v>
          </cell>
          <cell r="E15" t="str">
            <v>Selecionado alteração de horário.</v>
          </cell>
          <cell r="F15" t="str">
            <v>Gerado pelo atual Diretor Técnico.</v>
          </cell>
          <cell r="G15" t="str">
            <v>Emitido nos últimos 30 dias anterior ao protocolo.</v>
          </cell>
          <cell r="H15" t="str">
            <v>Ramo de atividade igual ou alterado, se alterado, pedir alteração contratual com CNAE da atividade declarada.</v>
          </cell>
          <cell r="I15" t="str">
            <v>Códigos de validação legíveis.</v>
          </cell>
          <cell r="J15" t="str">
            <v>Verificar se está assinalado “homeopatia”.</v>
          </cell>
          <cell r="K15" t="str">
            <v>*</v>
          </cell>
          <cell r="L15" t="str">
            <v>*</v>
          </cell>
          <cell r="M15" t="str">
            <v>*</v>
          </cell>
          <cell r="N15" t="str">
            <v>*</v>
          </cell>
          <cell r="O15" t="str">
            <v>*</v>
          </cell>
        </row>
        <row r="16">
          <cell r="A16" t="str">
            <v>REQUERIMENTO DO ESTABELECIMENTO (Posto de Coleta/Laboratório de Análises Clínicas)</v>
          </cell>
          <cell r="B16" t="str">
            <v>Razão social.</v>
          </cell>
          <cell r="C16" t="str">
            <v>Nome fantasia.</v>
          </cell>
          <cell r="D16" t="str">
            <v>Dados de contato (endereço/telefone/e-mail).</v>
          </cell>
          <cell r="E16" t="str">
            <v>Selecionado alteração de horário.</v>
          </cell>
          <cell r="F16" t="str">
            <v>Gerado pelo atual Diretor Técnico.</v>
          </cell>
          <cell r="G16" t="str">
            <v>Emitido nos últimos 30 dias anterior ao protocolo.</v>
          </cell>
          <cell r="H16" t="str">
            <v>Ramo de atividade igual ou alterado, se alterado, pedir alteração contratual com CNAE da atividade declarada.</v>
          </cell>
          <cell r="I16" t="str">
            <v>Códigos de validação legíveis.</v>
          </cell>
          <cell r="J16" t="str">
            <v>*</v>
          </cell>
          <cell r="K16" t="str">
            <v>*</v>
          </cell>
          <cell r="L16" t="str">
            <v>*</v>
          </cell>
          <cell r="M16" t="str">
            <v>*</v>
          </cell>
          <cell r="N16" t="str">
            <v>*</v>
          </cell>
          <cell r="O16" t="str">
            <v>*</v>
          </cell>
        </row>
        <row r="17">
          <cell r="A17" t="str">
            <v>SERVIDOR PÚBLICO</v>
          </cell>
          <cell r="B17" t="str">
            <v>Portaria, Decreto ou Equivalente de nomeação, publicado em Diário Oficial.</v>
          </cell>
          <cell r="C17" t="str">
            <v>Caso seja uma nomeação antiga, ou já tenha possuído outras responsabilidades técnicas no órgão:</v>
          </cell>
          <cell r="D17" t="str">
            <v>Solicitar a declaração de lotação.</v>
          </cell>
          <cell r="E17" t="str">
            <v>*</v>
          </cell>
          <cell r="F17" t="str">
            <v>*</v>
          </cell>
          <cell r="G17" t="str">
            <v>*</v>
          </cell>
          <cell r="H17" t="str">
            <v>*</v>
          </cell>
          <cell r="I17" t="str">
            <v>*</v>
          </cell>
          <cell r="J17" t="str">
            <v>*</v>
          </cell>
          <cell r="K17" t="str">
            <v>*</v>
          </cell>
          <cell r="L17" t="str">
            <v>*</v>
          </cell>
          <cell r="M17" t="str">
            <v>*</v>
          </cell>
          <cell r="N17" t="str">
            <v>*</v>
          </cell>
          <cell r="O17" t="str">
            <v>*</v>
          </cell>
        </row>
        <row r="18">
          <cell r="A18" t="str">
            <v>TERMO DE COMPROMISSO DO PROFISSIONAL</v>
          </cell>
          <cell r="B18" t="str">
            <v>Nome e nº inscrição.</v>
          </cell>
          <cell r="C18" t="str">
            <v>CNPJ e nome fantasia.</v>
          </cell>
          <cell r="D18" t="str">
            <v>Endereço atualizado ou solicitação de atualização; nesse caso, alterar no cadastro do profissional e protocolar (ocorrência 86) com a observação: "alteração de endereço solicitada no protocolo xxx".</v>
          </cell>
          <cell r="E18" t="str">
            <v>Modalidade de assistência correta.</v>
          </cell>
          <cell r="F18" t="str">
            <v>Horário declarado máximo de até 10 horas por dia.</v>
          </cell>
          <cell r="G18" t="str">
            <v>Verificar intervalo de acordo com o vínculo.</v>
          </cell>
          <cell r="H18" t="str">
            <v>Acima de 06 horas de carga diária é obrigatório declarar o intervalo, se CTPS.</v>
          </cell>
          <cell r="I18" t="str">
            <v>Abaixo de 06 horas não é necessário declarar intervalo.</v>
          </cell>
          <cell r="J18" t="str">
            <v>Emitido nos últimos 30 dias anterior ao protocolo.</v>
          </cell>
          <cell r="K18" t="str">
            <v>Códigos de validação legíveis.</v>
          </cell>
          <cell r="L18" t="str">
            <v>Verificar se tem outra atividade em horário conflitante.</v>
          </cell>
          <cell r="M18" t="str">
            <v>Caso possua outra RT, ver o deslocamento se hábil, e no mínimo 15 minutos. </v>
          </cell>
          <cell r="N18" t="str">
            <v> Outras atividades declaradas – Caso possua, solicitar Declaração de Vínculos e acrescentar a informação no cadastro do profissional (criar protocolo e adicionar outros vínculos).</v>
          </cell>
          <cell r="O18" t="str">
            <v>Verificar se o profissional possui inscrição secundária em outro CRF, caso possua, solicitar Declaração de Responsabilidades Técnicas Ativas.</v>
          </cell>
        </row>
        <row r="20">
          <cell r="A20" t="str">
            <v>CLÍNICA DE ESTÉTICA</v>
          </cell>
          <cell r="B20" t="str">
            <v>Verificar se o profissional que está ingressando possui habilitação em estética.</v>
          </cell>
          <cell r="C20" t="str">
            <v>Lançar status 9430 - ASSINOU DECLARAÇÃO DA AÇÃO DE ESTÉTICA e na observação preencher com o nome do profissional.</v>
          </cell>
          <cell r="D20" t="str">
            <v>Conforme autos nº 0061755-88.2013.4.01.3400/DF do TRFª1 região há vedação aos farmacêuticos de procedimentos previstos na Resolução CFF nº573/2013.</v>
          </cell>
          <cell r="E20" t="str">
            <v>Existe Ação Civil Pública nº 1093803-34.2023.4.01.3400, em tramitação na 21ª Vara Federal do DF, na qual declara nulidade parcial das Resoluções CFF nº 616/2015 e nº 645/2017.</v>
          </cell>
          <cell r="F20" t="str">
            <v>*</v>
          </cell>
          <cell r="G20" t="str">
            <v>*</v>
          </cell>
          <cell r="H20" t="str">
            <v>*</v>
          </cell>
          <cell r="I20" t="str">
            <v>*</v>
          </cell>
          <cell r="J20" t="str">
            <v>*</v>
          </cell>
          <cell r="K20" t="str">
            <v>*</v>
          </cell>
          <cell r="L20" t="str">
            <v>*</v>
          </cell>
        </row>
        <row r="21">
          <cell r="A21" t="str">
            <v>CONTRATO COM PRAZO DETERMINADO</v>
          </cell>
          <cell r="B21" t="str">
            <v>Lançar no dados II: Data Validade Certificado deverá ser igual a data fim do contrato. Se houver mais de um contrato com prazo determinado, lançar o vencimento mais recente.</v>
          </cell>
          <cell r="C21" t="str">
            <v>Lançar status 9 - CONTRATO POR TEMPO DETERMINADO </v>
          </cell>
          <cell r="D21" t="str">
            <v>Preencher a data de início e fim. </v>
          </cell>
          <cell r="E21" t="str">
            <v>Descrever o campo observação: contrato nº (se houver) com empresa xxx , CNPJ xxx OU com profissional xxx, vigente até xx/xx/xx (protocolo xxx).</v>
          </cell>
          <cell r="F21" t="str">
            <v>No campo - responsável técnico: preencher a data vencimento do contrato (não confundir com a data de rescisão).</v>
          </cell>
          <cell r="G21" t="str">
            <v>*</v>
          </cell>
          <cell r="H21" t="str">
            <v>*</v>
          </cell>
          <cell r="I21" t="str">
            <v>*</v>
          </cell>
          <cell r="J21" t="str">
            <v>*</v>
          </cell>
          <cell r="K21" t="str">
            <v>*</v>
          </cell>
          <cell r="L21" t="str">
            <v>*</v>
          </cell>
        </row>
        <row r="22">
          <cell r="A22" t="str">
            <v>HOSPITALAR</v>
          </cell>
          <cell r="B22" t="str">
            <v>Verificar se o profissional que está ingressando possui habilitação em farmácia hospitalar.</v>
          </cell>
          <cell r="C22" t="str">
            <v>Se oncologia, lançar status 9462 - PROFISSIONAIS HABILITADOS EM ONCOLOGIA com o nome dos profissionais habilitados.</v>
          </cell>
          <cell r="D22" t="str">
            <v>Se registro, lançar status 9400 - DECISAO JUDICIAL (conforme a quantidade de leitos - verificar padrão no manual).</v>
          </cell>
          <cell r="E22" t="str">
            <v>Se registro, preencher o campo "observações certificado" - conforme informação do manual.</v>
          </cell>
          <cell r="F22" t="str">
            <v>Se registro, lançar status 9471 - ESTAB. HOSP. COM ATÉ 50 LEITOS ou 9472 - ESTAB. HOSP. COM MAIS DE 50 LEITOS.</v>
          </cell>
          <cell r="G22" t="str">
            <v>*</v>
          </cell>
          <cell r="H22" t="str">
            <v>*</v>
          </cell>
          <cell r="I22" t="str">
            <v>*</v>
          </cell>
          <cell r="J22" t="str">
            <v>*</v>
          </cell>
          <cell r="K22" t="str">
            <v>*</v>
          </cell>
          <cell r="L22" t="str">
            <v>*</v>
          </cell>
        </row>
        <row r="23">
          <cell r="A23" t="str">
            <v>INDÚSTRIA</v>
          </cell>
          <cell r="B23" t="str">
            <v>Verificar se o profissional que está ingressando possui formação conforme consta no link: https://www.crf-pr.org.br/pagina/view/184</v>
          </cell>
          <cell r="C23" t="str">
            <v>Se indústria,homeopática o profissional deverá possuiR habilitação na área.</v>
          </cell>
          <cell r="D23" t="str">
            <v>No cadastro da empresa deverá ter status 9473 - HORÁRIO DE PRODUÇÃO, descrevendo o horário de produção.</v>
          </cell>
          <cell r="E23" t="str">
            <v>Assistência farmacêutica deverá ser por todo o horário de produção.</v>
          </cell>
          <cell r="F23" t="str">
            <v>.</v>
          </cell>
          <cell r="G23" t="str">
            <v>*</v>
          </cell>
          <cell r="H23" t="str">
            <v>*</v>
          </cell>
          <cell r="I23" t="str">
            <v>*</v>
          </cell>
          <cell r="J23" t="str">
            <v>*</v>
          </cell>
          <cell r="K23" t="str">
            <v>*</v>
          </cell>
          <cell r="L23" t="str">
            <v>*</v>
          </cell>
        </row>
        <row r="24">
          <cell r="A24" t="str">
            <v>INGRESSO POR EMPRESA TERCEIRIZADA</v>
          </cell>
          <cell r="B24" t="str">
            <v>Contrato do estabelecimento com a empresa terceirizada, conforme item "contrato".</v>
          </cell>
          <cell r="C24" t="str">
            <v>Vínculo do profissional com a empresa terceirizada.</v>
          </cell>
          <cell r="D24" t="str">
            <v>Declaração de lotação assinada pela terceirizada.</v>
          </cell>
          <cell r="E24" t="str">
            <v xml:space="preserve">Incluir status 9433 - RT POR EMPRESA TERCEIRIZADA no padrão: nome completo do profissional contratado via (ctps OU contrato)/sócio/proprietário da empresa xxx, de CNPJ xx.xxx.xxx/0001-00. </v>
          </cell>
          <cell r="F24" t="str">
            <v>Lançar a data de início e fim (se houver) no status.</v>
          </cell>
          <cell r="G24" t="str">
            <v>No contrato do profissional, na "Situação RT" selecionar: terceirizado.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</row>
        <row r="25">
          <cell r="A25" t="str">
            <v>MANIPULAÇÃO - SE HOUVER HOMEOPATIA</v>
          </cell>
          <cell r="B25" t="str">
            <v>Verificar se o profissional que está ingressando possui habilitação em farmácia homeopática</v>
          </cell>
          <cell r="C25" t="str">
            <v>Obrigatoriamente o Diretor e o substituto (caso houver) deverão ser habilitados</v>
          </cell>
          <cell r="D25" t="str">
            <v>Atualizar status 9420 com o nome dos profissionais que manipulam homeopatia (caso não tenha, incluir status).</v>
          </cell>
          <cell r="E25" t="str">
            <v>*</v>
          </cell>
          <cell r="F25" t="str">
            <v>*</v>
          </cell>
          <cell r="G25" t="str">
            <v>*</v>
          </cell>
          <cell r="H25" t="str">
            <v>*</v>
          </cell>
          <cell r="I25" t="str">
            <v>*</v>
          </cell>
          <cell r="J25" t="str">
            <v>*</v>
          </cell>
          <cell r="K25" t="str">
            <v>*</v>
          </cell>
          <cell r="L25" t="str">
            <v>*</v>
          </cell>
        </row>
        <row r="26">
          <cell r="A26" t="str">
            <v>MODALIDADE DAP</v>
          </cell>
          <cell r="B26" t="str">
            <v>Poderá realizar cobertura de no máximo 06 profissionais no mesmo estabelecimento ou em estabelecimentos distintos, desde que, possuam assistência integral.</v>
          </cell>
          <cell r="C26" t="str">
            <v>Não é necessário declarar horário. Se o profissional possuir outro vínculo com horário declarado, deverá declarar também na DAP de modo a não gerar conflito de assistência.</v>
          </cell>
          <cell r="D26" t="str">
            <v>Incluir apenas status 22 - DAP - DECLARAÇÃO DE ATIVIDADE PROFISSIONAL com o nome do profissional e na data de início preencher a data do protocolo.</v>
          </cell>
          <cell r="E26" t="str">
            <v>Caso o estabelecimento possua mais de 1 farmacêutico na modalidade DAP, criar um status 22 para cada profissional.</v>
          </cell>
          <cell r="F26" t="str">
            <v>Na data de contrato do profissional, preencher com a data do protocolo e não a data do Plenário.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</row>
        <row r="27">
          <cell r="A27" t="str">
            <v>MODALIDADE SUBSTITUTO</v>
          </cell>
          <cell r="B27" t="str">
            <v>Substituto não deve declarar horário.</v>
          </cell>
          <cell r="C27" t="str">
            <v>Contempla o horário integral do estabelecimento sendo assim verificar se não possui conflito.</v>
          </cell>
          <cell r="D27" t="str">
            <v>Só poderá assumir outra RT caso seja fora do horário de funcionamento do estabelecimento no qual já é substituto.</v>
          </cell>
          <cell r="E27" t="str">
            <v>*</v>
          </cell>
          <cell r="F27" t="str">
            <v>*</v>
          </cell>
          <cell r="G27" t="str">
            <v>*</v>
          </cell>
          <cell r="H27" t="str">
            <v>*</v>
          </cell>
          <cell r="I27" t="str">
            <v>*</v>
          </cell>
          <cell r="J27" t="str">
            <v>*</v>
          </cell>
          <cell r="K27" t="str">
            <v>*</v>
          </cell>
          <cell r="L27" t="str">
            <v>*</v>
          </cell>
        </row>
        <row r="28">
          <cell r="A28" t="str">
            <v>POSTO DE COLETA/LABORATÓRIO DE ANÁLISES CLÍNICAS</v>
          </cell>
          <cell r="B28" t="str">
            <v>Verificar se o profissional que está ingressando possui habilitação como Farmacêutico-Bioquímico opção Análises Clínicas e Toxicológicas ou é Farmacêutico Generalista (Habilidades Técnicas).</v>
          </cell>
          <cell r="C28" t="str">
            <v>Não é necessário declarar horário.</v>
          </cell>
          <cell r="D28" t="str">
            <v>Caso o profissional possua outra atividade que necessite declarar assistência e que conflite com o horário do estabelecimento, deverá declarar o seu horário de assistência.</v>
          </cell>
          <cell r="E28" t="str">
            <v>Se é posto de coleta independente (matriz) deverá ter contrato com laboratório.</v>
          </cell>
          <cell r="F28" t="str">
            <v>Posto de coleta matriz, deve ter status 38 - POSTO DE COLETA PRESTADOR DE SERVIÇOS e na observação o nome do laboratório.</v>
          </cell>
          <cell r="G28" t="str">
            <v>*</v>
          </cell>
          <cell r="H28" t="str">
            <v>*</v>
          </cell>
          <cell r="I28" t="str">
            <v>*</v>
          </cell>
          <cell r="J28" t="str">
            <v>*</v>
          </cell>
          <cell r="K28" t="str">
            <v>*</v>
          </cell>
          <cell r="L28" t="str">
            <v>*</v>
          </cell>
        </row>
        <row r="29">
          <cell r="A29" t="str">
            <v>PROFISSIONAIS QUE POSSUEM OUTRA RT OU ATIVIDADE</v>
          </cell>
          <cell r="B29" t="str">
            <v>Verificar se possui tempo hábil de deslocamento, não podendo ser inferior a 15 minutos.</v>
          </cell>
          <cell r="C29" t="str">
            <v>Caso tenha declarado outra atividade:</v>
          </cell>
          <cell r="D29" t="str">
            <v>Verificar se está lançada no cadastro do profissional, na aba "Outros Vínculos";</v>
          </cell>
          <cell r="E29" t="str">
            <v>Caso não esteja lançado, solicitar declaração do estabelecimento contendo dias e horários das atividades;</v>
          </cell>
          <cell r="F29" t="str">
            <v>Adicionar horários da declaração na aba "Outros Vínculos", e na observação adicionar - "Declaração apresentada no protocolo xxx";</v>
          </cell>
          <cell r="G29" t="str">
            <v>Protocolar a declaração recebida no cadastro do profissional:</v>
          </cell>
          <cell r="H29" t="str">
            <v>Utilizar a ocorrência 86 - INFORMACOES GERAIS – PF;</v>
          </cell>
          <cell r="I29" t="str">
            <v>Anexar a declaração/documento.</v>
          </cell>
          <cell r="J29" t="str">
            <v>Adicionar nas observações do protocolo: "Declaração apresentada no protocolo xxx".</v>
          </cell>
          <cell r="K29" t="str">
            <v>Caso tenha inscrição em outro estado, deverá apresentar declaração daquele Conselho (emitido no máximo em 30 dias).</v>
          </cell>
          <cell r="L29" t="str">
            <v>*</v>
          </cell>
        </row>
        <row r="30">
          <cell r="A30" t="str">
            <v>REABILITAÇÃO DE REGISTRO PJ</v>
          </cell>
          <cell r="B30" t="str">
            <v>Dados II: preencher a data de Reabilitação</v>
          </cell>
          <cell r="C30" t="str">
            <v>Inativar status 9456 - PRE CADASTRO - REABILITAÇÃO.</v>
          </cell>
          <cell r="D30" t="str">
            <v>Incluir: status 106 REQ. REABILITACAO REGISTRO EM ANDAMENTO - com a data da plenária vigente.</v>
          </cell>
          <cell r="E30" t="str">
            <v>Alterar a ocorrência no protocolo para 17 - REQUER REABILITACAO DE REGISTRO - PJ.</v>
          </cell>
          <cell r="F30" t="str">
            <v>*</v>
          </cell>
          <cell r="G30" t="str">
            <v>*</v>
          </cell>
          <cell r="H30" t="str">
            <v>*</v>
          </cell>
          <cell r="I30" t="str">
            <v>*</v>
          </cell>
          <cell r="J30" t="str">
            <v>*</v>
          </cell>
          <cell r="K30" t="str">
            <v>*</v>
          </cell>
          <cell r="L30" t="str">
            <v>*</v>
          </cell>
        </row>
        <row r="31">
          <cell r="A31" t="str">
            <v>REGISTRO DE ESTABELECIMENTO</v>
          </cell>
          <cell r="B31" t="str">
            <v>Pagamento da taxa de registro.</v>
          </cell>
          <cell r="C31" t="str">
            <v>Dados I:  campo "Data Inscrição CRF" incluir/alterar para a data da plenária vigente. E conferir a Categoria da Empresa</v>
          </cell>
          <cell r="D31" t="str">
            <v>Dados II: Campo "Data Aprovação Plenária" preencher com a data da plenária vigente e o campo "Data Abertura Firma" preencher conforme a data de registro na junta ou a data informada no cartão CNPJ</v>
          </cell>
          <cell r="E31" t="str">
            <v>Incluir: status 9452 - RECADASTRAMENTO DE EMPRESA, não é necessário para órgão público.</v>
          </cell>
          <cell r="F31" t="str">
            <v>Observar status 20 - ILEGAL AUTUAR, pois é de empresa que tentou registrar e não conseguiu, ou fiscal constatou que estava funcionando sem registro. Se tudo correto, inativar.</v>
          </cell>
          <cell r="G31" t="str">
            <v>Inativar status 02 - PRE CADASTRO.</v>
          </cell>
          <cell r="H31" t="str">
            <v>Incluir: status 105 - REQ.REGISTRO EM ANDAMENTO, preencher data da plenária vigente.</v>
          </cell>
          <cell r="I31" t="str">
            <v>Ocorrência no protocolo web deverá ser alterado para 16 REQUER REGISTRO - PJ.</v>
          </cell>
          <cell r="J31" t="str">
            <v>Na aba dados de contato: Incluir telefones e e-mail conforme preenchido no protocolo (dados da firma &gt;&gt; contato).</v>
          </cell>
          <cell r="K31" t="str">
            <v>Obrigatoriamente o estabelecimento deve estar regular.</v>
          </cell>
          <cell r="L31" t="str">
            <v>FARMÁCIA HOSPITALAR é isenta de taxa de registro e anuidade / ÓRGÃO PÚBLICO é isento de anuidade - Nestes casos, selecionar o campo no Sagicon "Isento Anuidade".</v>
          </cell>
        </row>
        <row r="33">
          <cell r="A33" t="str">
            <v>CRITÉRIOS DO AD REFERENDUM</v>
          </cell>
          <cell r="B33" t="str">
            <v>Verificar se não está na lista das empresas sem AD REFERENDUM: São João, Nissei, Panvel, Brava, Beautypharma, Unipreço, Fleming, Trajano, Freefarma, Ponto Popular (Farmácia Kalug), Callfarma, Morifarma.</v>
          </cell>
          <cell r="C33" t="str">
            <v>Verificar estava regular ou com prazo para regularizar até a data do protocolo.</v>
          </cell>
          <cell r="D33" t="str">
            <v>Sem débitos (exceção de RECURSO CFF e/ou MANDADO DE SEGURANÇA).</v>
          </cell>
          <cell r="E33" t="str">
            <v>Sem autuação nos últimos 30 dias do protocolo.</v>
          </cell>
          <cell r="F33" t="str">
            <v>Verificar se o protocolo foi realizado dentro do período de 30 dias da data fim do status.</v>
          </cell>
          <cell r="G33" t="str">
            <v>No caso de hospitalar -50 leitos, se tiver status 9457 poderá solicitar AD independente da data fim.</v>
          </cell>
          <cell r="H33" t="str">
            <v>Para indústrias ou farmácia com manipulação que possuir status 9468, verificar se o protocolo estaria dentro do prazo contado a partir da data fim do status.</v>
          </cell>
          <cell r="I33" t="str">
            <v>*</v>
          </cell>
          <cell r="J33" t="str">
            <v>*</v>
          </cell>
          <cell r="K33" t="str">
            <v>*</v>
          </cell>
          <cell r="L33" t="str">
            <v>*</v>
          </cell>
          <cell r="M33" t="str">
            <v>*</v>
          </cell>
          <cell r="N33" t="str">
            <v>*</v>
          </cell>
          <cell r="O33" t="str">
            <v>*</v>
          </cell>
          <cell r="P33" t="str">
            <v>*</v>
          </cell>
        </row>
        <row r="34">
          <cell r="A34" t="str">
            <v>LANÇAMENTO DE status - PROTOCOLO FINALIZADO</v>
          </cell>
          <cell r="B34" t="str">
            <v>Inativar o status 210 - HORARIO NOVO CONDIZENTE.</v>
          </cell>
          <cell r="C34" t="str">
            <v>Caso tenha status 9467/9468 e a assistência fique regular, inativar o status.</v>
          </cell>
          <cell r="D34" t="str">
            <v>Ingresso ou Mudança de Modalidade: incluir status - 108 - REQ.INGRESSO R.T. EM ANDAMENTO.</v>
          </cell>
          <cell r="E34" t="str">
            <v>Se ingresso, descrever no padrão: IRT - DT/SUB/AT, nome do profissional.</v>
          </cell>
          <cell r="F34" t="str">
            <v>Se alterar modalidade, descrever no padrão: ALT MOD (nome do prof) de DT/AT/SUB/DAP para DT/AT/SUB/DAP.</v>
          </cell>
          <cell r="G34" t="str">
            <v>Somente em alteração de horário: incluir status - 130 - REQ. ALTERACAO DE HORARIO EM ANDAMENTO</v>
          </cell>
          <cell r="H34" t="str">
            <v>Descrever no padrão: ALT HOR - DT/SUB/AT - nome do profissional.</v>
          </cell>
          <cell r="I34" t="str">
            <v>Caso possua status 101, inativar</v>
          </cell>
          <cell r="J34" t="str">
            <v>Caso tenha um protocolo em andamento, retirar a data de conferência.</v>
          </cell>
          <cell r="K34" t="str">
            <v>*</v>
          </cell>
          <cell r="L34" t="str">
            <v>*</v>
          </cell>
          <cell r="M34" t="str">
            <v>*</v>
          </cell>
          <cell r="N34" t="str">
            <v>*</v>
          </cell>
          <cell r="O34" t="str">
            <v>*</v>
          </cell>
          <cell r="P34" t="str">
            <v>*</v>
          </cell>
        </row>
        <row r="35">
          <cell r="A35" t="str">
            <v>LANÇAMENTO DE status - PROTOCOLO IRREGULAR</v>
          </cell>
          <cell r="B35" t="str">
            <v>Se ampliar horário e a empresa ficar IRREGULAR:</v>
          </cell>
          <cell r="C35" t="str">
            <v>Lançar status 9468 - SEM ASSISTÊNCIA FARMACÊUTICA AUTUAR, lançar data início e fim (que será a mesma) com a data do protocolo.</v>
          </cell>
          <cell r="D35" t="str">
            <v>Incluir na observação: "Ampliou horário de funcionamento, sem contemplar assistência integral" e adicionar os dias e horários descobertos.</v>
          </cell>
          <cell r="E35" t="str">
            <v>Se alterou o horário e/ou modalidade dos profissionais e a empresa ficar IRREGULAR:</v>
          </cell>
          <cell r="F35" t="str">
            <v>Lançar status 9467 - SEM ASSISTÊNCIA FARMACÊUTICA - COM PRAZO ATÉ, lançar data início (data protocolo) e fim (30 dias corridos).</v>
          </cell>
          <cell r="G35" t="str">
            <v>Incluir na observação: Motivo da irregularidade (prazo da alteração de horário / prazo da mudança de modalidade), e incluir os dias e horários sem assistência.</v>
          </cell>
          <cell r="H35" t="str">
            <v>Criar protocolo com a ocorrência 209 - INFORMACOES GERAIS – PJ. Nas observações, incluir texto padrão.</v>
          </cell>
          <cell r="I35" t="str">
            <v>*</v>
          </cell>
          <cell r="J35" t="str">
            <v>*</v>
          </cell>
          <cell r="K35" t="str">
            <v>*</v>
          </cell>
          <cell r="L35" t="str">
            <v>*</v>
          </cell>
          <cell r="M35" t="str">
            <v>*</v>
          </cell>
          <cell r="N35" t="str">
            <v>*</v>
          </cell>
          <cell r="O35" t="str">
            <v>*</v>
          </cell>
          <cell r="P35" t="str">
            <v>*</v>
          </cell>
        </row>
        <row r="36">
          <cell r="A36" t="str">
            <v>ANEXAR O ARQUIVO DO PROCEDIMENTO NO GED</v>
          </cell>
          <cell r="B36" t="str">
            <v>Pelo sistema PDF24, juntar os documentos.</v>
          </cell>
          <cell r="C36" t="str">
            <v>Termo de Responsabilidade Técnica do Estabelecimento e  Protocolo em PDF, impressão do protocolo - 1 via.</v>
          </cell>
          <cell r="D36" t="str">
            <v>Em caso de Registro, além dos documentos mencionados, devem ser anexados todos os demais documentos de registro, na seguinte ordem:</v>
          </cell>
          <cell r="E36" t="str">
            <v>Protocolo &gt; Quadro de horários &gt; Contrato Social &gt; Cartão CNPJ &gt; Requerimento do estabelecimento &gt; Termo de compromisso &gt; Vínculo trabalhista &gt; Alvará, se houver</v>
          </cell>
          <cell r="F36" t="str">
            <v>&gt; Outros documentos, caso possua &gt; comprovante de pagamento, se houver.</v>
          </cell>
          <cell r="G36" t="str">
            <v>PADRÕES NOME:</v>
          </cell>
          <cell r="H36" t="str">
            <v>Ingresso_RT_Protocolo_xxx</v>
          </cell>
          <cell r="I36" t="str">
            <v>Alteração_Horário_Protocolo_xxx</v>
          </cell>
          <cell r="J36" t="str">
            <v>Alteração_Modalidade_Protocolo_xxx</v>
          </cell>
          <cell r="K36" t="str">
            <v>Registro_RT_Protocolo_xxx</v>
          </cell>
          <cell r="L36" t="str">
            <v>Reabilitação_Registro_Protocolo_xxx</v>
          </cell>
          <cell r="M36" t="str">
            <v>Metadados a serem preenchidos no GED:</v>
          </cell>
          <cell r="N36" t="str">
            <v>Ano do documento.</v>
          </cell>
          <cell r="O36" t="str">
            <v>Número do protocolo.</v>
          </cell>
          <cell r="P36" t="str">
            <v>PAE e PAP (poderão ser inseridos todos os PA de profissionais disponíveis no GED).</v>
          </cell>
        </row>
        <row r="37">
          <cell r="A37" t="str">
            <v>LANÇAMENTO DA SITUAÇÃO RESPONSÁVEL TÉCNICO CONFORME O VÍNCULO</v>
          </cell>
          <cell r="B37" t="str">
            <v>Autônomo - Sempre que o vínculo for por meio de contrato de trabalho</v>
          </cell>
          <cell r="C37" t="str">
            <v>Sócio - Quando há mais de um proprietário do estabelecimento</v>
          </cell>
          <cell r="D37" t="str">
            <v>Terceirizado - Quando a contratação do profissional não é diretamente com o estabelecimento, ou ele é proprietário da empresa terceira.</v>
          </cell>
          <cell r="E37" t="str">
            <v>Contratado - Sempre que o vínculo for por meio de carteira de trabalho, ou PSS.</v>
          </cell>
          <cell r="F37" t="str">
            <v>Proprietário - quando o profissional é o único dono do estabelecimento</v>
          </cell>
          <cell r="G37" t="str">
            <v>Servidor Público - Quando o vínculo é por meio de nomeação.</v>
          </cell>
          <cell r="H37" t="str">
            <v>Arrendatário - Quando é apresentado um contrato de arrendamento do profissional com o estabelecimento.</v>
          </cell>
          <cell r="I37" t="str">
            <v>*</v>
          </cell>
          <cell r="J37" t="str">
            <v>*</v>
          </cell>
          <cell r="K37" t="str">
            <v>*</v>
          </cell>
          <cell r="L37" t="str">
            <v>*</v>
          </cell>
          <cell r="M37" t="str">
            <v>*</v>
          </cell>
          <cell r="N37" t="str">
            <v>*</v>
          </cell>
          <cell r="O37" t="str">
            <v>*</v>
          </cell>
          <cell r="P37" t="str">
            <v>*</v>
          </cell>
        </row>
        <row r="38">
          <cell r="A38" t="str">
            <v>PADRÕES PARA SALVAR ARQUIVOS NO GED</v>
          </cell>
          <cell r="B38" t="str">
            <v>Ingresso_RT_Protocolo_xxx</v>
          </cell>
          <cell r="C38" t="str">
            <v>Alteração_Horário_Protocolo_xxx</v>
          </cell>
          <cell r="D38" t="str">
            <v>Alteração_Modalidade_Protocolo_xxx</v>
          </cell>
          <cell r="E38" t="str">
            <v>Registro_RT_Protocolo_xxx</v>
          </cell>
          <cell r="F38" t="str">
            <v>Reabilitação_Registro_Protocolo_xxx</v>
          </cell>
          <cell r="G38" t="str">
            <v>*</v>
          </cell>
          <cell r="H38" t="str">
            <v>*</v>
          </cell>
          <cell r="I38" t="str">
            <v>*</v>
          </cell>
          <cell r="J38" t="str">
            <v>*</v>
          </cell>
          <cell r="K38" t="str">
            <v>*</v>
          </cell>
          <cell r="L38" t="str">
            <v>*</v>
          </cell>
          <cell r="M38" t="str">
            <v>*</v>
          </cell>
          <cell r="N38" t="str">
            <v>*</v>
          </cell>
          <cell r="O38" t="str">
            <v>*</v>
          </cell>
          <cell r="P38" t="str">
            <v>*</v>
          </cell>
        </row>
        <row r="39">
          <cell r="A39" t="str">
            <v>PROTOCOLO INTERNO DE AD REFERENDUM</v>
          </cell>
          <cell r="B39" t="str">
            <v>Clicar em PROTOCOLO INTERNO.</v>
          </cell>
          <cell r="C39" t="str">
            <v>Ocorrência 390 - ANÁLISE DE AD REFERENDUM.</v>
          </cell>
          <cell r="D39" t="str">
            <v>Na aba, "Inspeções e Protocolos" em protocolo localizar o número do protocolo em tramitação e incluir.</v>
          </cell>
          <cell r="E39" t="str">
            <v>Na aba "Evolução", alterar a evolução e incluir Usuário para Encaminhamento, localizar o código do fiscal da região. </v>
          </cell>
          <cell r="F39" t="str">
            <v>Na aba, anexo, incluir o Termo de Responsabilidade Técnica do Estabelecimento.</v>
          </cell>
          <cell r="G39" t="str">
            <v>Salvar.</v>
          </cell>
          <cell r="H39" t="str">
            <v>*</v>
          </cell>
          <cell r="I39" t="str">
            <v>*</v>
          </cell>
          <cell r="J39" t="str">
            <v>*</v>
          </cell>
          <cell r="K39" t="str">
            <v>*</v>
          </cell>
          <cell r="L39" t="str">
            <v>*</v>
          </cell>
          <cell r="M39" t="str">
            <v>*</v>
          </cell>
          <cell r="N39" t="str">
            <v>*</v>
          </cell>
          <cell r="O39" t="str">
            <v>*</v>
          </cell>
          <cell r="P39" t="str">
            <v>*</v>
          </cell>
        </row>
        <row r="40">
          <cell r="A40" t="str">
            <v>TRAMITAÇÃO DO PROTOCOLO PARA CONFERÊNCIA</v>
          </cell>
          <cell r="B40" t="str">
            <v>Ao final do procedimento alterar o CÓDIGO DA OCORRÊNCIA conforme o tipo de processo analisado (359 - INGRESSO RESP. TÉC/ 358 - ALT. HORÁRIO/ 16 - REGISTRO).</v>
          </cell>
          <cell r="C40" t="str">
            <v>Evoluir:  Local da evolução: 45 – SITUAÇÃO: 01 – JULGAMENTO: 27 – USUÁRIO DE ENCAMINHAMENTO (Nº do cadastro do colaborador conferente).</v>
          </cell>
          <cell r="D40" t="str">
            <v>*</v>
          </cell>
          <cell r="E40" t="str">
            <v>*</v>
          </cell>
          <cell r="F40" t="str">
            <v>*</v>
          </cell>
          <cell r="G40" t="str">
            <v>*</v>
          </cell>
          <cell r="H40" t="str">
            <v>*</v>
          </cell>
          <cell r="I40" t="str">
            <v>*</v>
          </cell>
          <cell r="J40" t="str">
            <v>*</v>
          </cell>
          <cell r="K40" t="str">
            <v>*</v>
          </cell>
          <cell r="L40" t="str">
            <v>*</v>
          </cell>
          <cell r="M40" t="str">
            <v>*</v>
          </cell>
          <cell r="N40" t="str">
            <v>*</v>
          </cell>
          <cell r="O40" t="str">
            <v>*</v>
          </cell>
          <cell r="P40" t="str">
            <v>*</v>
          </cell>
        </row>
        <row r="42">
          <cell r="A42" t="str">
            <v>ARMAZENADORA DE MEDICAMENTOS E PRODUTOS PARA SAÚDE</v>
          </cell>
          <cell r="B42" t="str">
            <v>ARMAZENADORA DE MEDICAMENTOS E PRODUTOS PARA SAÚDE</v>
          </cell>
          <cell r="C42" t="str">
            <v>30 DIAS</v>
          </cell>
          <cell r="D42" t="str">
            <v>Assistência farmacêutica durante todo o horário de funcionamento do estabelecimento.</v>
          </cell>
          <cell r="E42"/>
        </row>
        <row r="43">
          <cell r="A43" t="str">
            <v>BANCO DE LEITE HUMANO</v>
          </cell>
          <cell r="B43" t="str">
            <v>BANCO DE LEITE HUMANO</v>
          </cell>
          <cell r="C43" t="str">
            <v>NÃO HÁ PRAZO</v>
          </cell>
          <cell r="D43" t="str">
            <v>O profissional que não declarar horário deverá possuir disponibilidade para todo o período de funcionamento, conforme ocorre com o laboratório de análises clínicas.</v>
          </cell>
          <cell r="E43"/>
        </row>
        <row r="44">
          <cell r="A44" t="str">
            <v>CENTRAL DE ABASTECIMENTO FARMACÊUTICO</v>
          </cell>
          <cell r="B44" t="str">
            <v>SIMILAR A DISTRIBUIDORA DE MEDICAMENTOS</v>
          </cell>
          <cell r="C44" t="str">
            <v>30 DIAS</v>
          </cell>
          <cell r="D44" t="str">
            <v>Assistência farmacêutica durante todo o horário de funcionamento do estabelecimento.</v>
          </cell>
          <cell r="E44"/>
        </row>
        <row r="45">
          <cell r="A45" t="str">
            <v>CLÍNICA DE SERVIÇOS DE VACINAÇÃO</v>
          </cell>
          <cell r="B45" t="str">
            <v>CLÍNICAS FARMACÊUTICAS</v>
          </cell>
          <cell r="C45" t="str">
            <v>NÃO HÁ PRAZO</v>
          </cell>
          <cell r="D45" t="str">
            <v>Não há exigência de carga horária mínima. O profissional pode optar por declarar ou não sua assistência; caso não a declare, deverá possuir disponibilidade para todo o horário de funcionamento.</v>
          </cell>
          <cell r="E45"/>
        </row>
        <row r="46">
          <cell r="A46" t="str">
            <v>CLÍNICA ESTÉTICA</v>
          </cell>
          <cell r="B46" t="str">
            <v>CLÍNICAS FARMACÊUTICAS</v>
          </cell>
          <cell r="C46" t="str">
            <v>NÃO HÁ PRAZO</v>
          </cell>
          <cell r="D46" t="str">
            <v>Não há exigência de carga horária mínima. O profissional pode optar por declarar ou não sua assistência; caso não a declare, deverá possuir disponibilidade para todo o horário de funcionamento.</v>
          </cell>
          <cell r="E46"/>
        </row>
        <row r="47">
          <cell r="A47" t="str">
            <v>CONSULTÓRIO FARMACÊUTICO</v>
          </cell>
          <cell r="B47" t="str">
            <v>CONSULTÓRIO FARMACÊUTICO</v>
          </cell>
          <cell r="C47" t="str">
            <v>NÃO HÁ PRAZO</v>
          </cell>
          <cell r="D47" t="str">
            <v>Não há exigência de carga horária mínima. O profissional pode optar por declarar ou não sua assistência.</v>
          </cell>
          <cell r="E47"/>
        </row>
        <row r="48">
          <cell r="A48" t="str">
            <v>CONTROLE DE VETORES E PRAGAS URBANAS</v>
          </cell>
          <cell r="B48" t="str">
            <v>OUTROS ESTABELECIMENTOS / DESINSETIZADORA</v>
          </cell>
          <cell r="C48" t="str">
            <v>NÃO HÁ PRAZO</v>
          </cell>
          <cell r="D48" t="str">
            <v>Assistência de, no mínimo, 2 horas diárias, de segunda a sexta-feira.</v>
          </cell>
          <cell r="E48"/>
        </row>
        <row r="49">
          <cell r="A49" t="str">
            <v>DISTRIBUIDOR/IMPORTADOR DE MEDICAMENTOS, COSMÉTICOS, PRODUTOS DE HIGIENE PESSOAL</v>
          </cell>
          <cell r="B49" t="str">
            <v>DISTRIBUIDORA MEDICAMENTOS</v>
          </cell>
          <cell r="C49" t="str">
            <v>30 DIAS</v>
          </cell>
          <cell r="D49" t="str">
            <v>Assistência farmacêutica durante todo o horário de funcionamento do estabelecimento.</v>
          </cell>
          <cell r="E49"/>
        </row>
        <row r="50">
          <cell r="A50" t="str">
            <v>DISTRIBUIDOR/IMPORTADOR/EXPORTADOR DE COSMÉTICO</v>
          </cell>
          <cell r="B50" t="str">
            <v xml:space="preserve"> DISTRIBUIDORA DE CORRELATOS</v>
          </cell>
          <cell r="C50" t="str">
            <v>30 DIAS</v>
          </cell>
          <cell r="D50" t="str">
            <v>Não há exigência de carga horária mínima. O profissional pode optar por declarar ou não sua assistência; caso não a declare, deverá possuir disponibilidade para todo o horário de funcionamento.</v>
          </cell>
          <cell r="E50"/>
        </row>
        <row r="51">
          <cell r="A51" t="str">
            <v>DISTRIBUIDOR/IMPORTADOR/EXPORTADOR DE PRODUTOS PARA SAÚDE</v>
          </cell>
          <cell r="B51" t="str">
            <v>DISTRIBUIDORA DE CORRELATOS</v>
          </cell>
          <cell r="C51" t="str">
            <v>30 DIAS</v>
          </cell>
          <cell r="D51" t="str">
            <v>Não há exigência de carga horária mínima. O profissional pode optar por declarar ou não sua assistência; caso não a declare, deverá possuir disponibilidade para todo o horário de funcionamento.</v>
          </cell>
          <cell r="E51"/>
        </row>
        <row r="52">
          <cell r="A52" t="str">
            <v>DISTRIBUIDOR/IMPORTADOR/EXPORTADOR DE MEDICAMENTOS</v>
          </cell>
          <cell r="B52" t="str">
            <v>DISTRIBUIDORA MEDICAMENTOS</v>
          </cell>
          <cell r="C52" t="str">
            <v>30 DIAS</v>
          </cell>
          <cell r="D52" t="str">
            <v>Assistência farmacêutica durante todo o horário de funcionamento do estabelecimento.</v>
          </cell>
          <cell r="E52"/>
        </row>
        <row r="53">
          <cell r="A53" t="str">
            <v>EMPRESA ARMAZENADORA DE CORRELATOS</v>
          </cell>
          <cell r="B53" t="str">
            <v>EMPRESA ARMAZENADORA DE CORRELATOS</v>
          </cell>
          <cell r="C53" t="str">
            <v>30 DIAS</v>
          </cell>
          <cell r="D53" t="str">
            <v>Não há exigência de carga horária mínima. O profissional pode optar por declarar ou não sua assistência; caso não a declare, deverá possuir disponibilidade para todo o horário de funcionamento.</v>
          </cell>
          <cell r="E53"/>
        </row>
        <row r="54">
          <cell r="A54" t="str">
            <v>EMPRESA ARMAZENADORA DE MEDICAMENTOS</v>
          </cell>
          <cell r="B54" t="str">
            <v>EMPRESA ARMAZENADORA DE MEDICAMENTOS</v>
          </cell>
          <cell r="C54" t="str">
            <v>30 DIAS</v>
          </cell>
          <cell r="D54" t="str">
            <v>Assistência farmacêutica durante todo o horário de funcionamento do estabelecimento.</v>
          </cell>
          <cell r="E54"/>
        </row>
        <row r="55">
          <cell r="A55" t="str">
            <v>ERVANARIA</v>
          </cell>
          <cell r="B55" t="str">
            <v xml:space="preserve"> FARMÁCIA HOSPITALAR OU EQUIVALENTE</v>
          </cell>
          <cell r="C55" t="str">
            <v>30 DIAS**</v>
          </cell>
          <cell r="D55" t="str">
            <v>Assistência farmacêutica durante todo o horário de funcionamento da farmácia hospitalar. Para estabelecimentos privativos com menos de 50 leitos, não há obrigatoriedade de assistência integral.</v>
          </cell>
          <cell r="E55"/>
        </row>
        <row r="56">
          <cell r="A56" t="str">
            <v>FARMÁCIA COM MANIPULAÇÃO</v>
          </cell>
          <cell r="B56" t="str">
            <v>FARMÁCIA COM MANIPULAÇÃO</v>
          </cell>
          <cell r="C56" t="str">
            <v>NÃO HÁ PRAZO</v>
          </cell>
          <cell r="D56" t="str">
            <v>Assistência farmacêutica durante todo o horário de funcionamento do estabelecimento.</v>
          </cell>
          <cell r="E56"/>
        </row>
        <row r="57">
          <cell r="A57" t="str">
            <v>FARMÁCIA COM MANIPULAÇÃO ALOPÁTICA E HOMEOPÁTICA</v>
          </cell>
          <cell r="B57" t="str">
            <v>FARMÁCIA COM MANIPULAÇÃO ALOPÁTICA E HOMEOPÁTICA</v>
          </cell>
          <cell r="C57" t="str">
            <v>NÃO HÁ PRAZO</v>
          </cell>
          <cell r="D57" t="str">
            <v>Assistência farmacêutica durante todo o horário de funcionamento do estabelecimento.</v>
          </cell>
          <cell r="E57"/>
        </row>
        <row r="58">
          <cell r="A58" t="str">
            <v>FARMÁCIA DE ASSISTÊNCIA DOMICILIAR</v>
          </cell>
          <cell r="B58" t="str">
            <v xml:space="preserve"> FARMÁCIA HOSPITALAR OU EQUIVALENTE</v>
          </cell>
          <cell r="C58" t="str">
            <v>30 DIAS**</v>
          </cell>
          <cell r="D58" t="str">
            <v>Assistência farmacêutica durante todo o horário de funcionamento da farmácia hospitalar. Para estabelecimentos privativos com menos de 50 leitos, não há obrigatoriedade de assistência integral.</v>
          </cell>
          <cell r="E58"/>
        </row>
        <row r="59">
          <cell r="A59" t="str">
            <v>FARMÁCIA EQUIVALENTE A HOSPITALAR</v>
          </cell>
          <cell r="B59" t="str">
            <v>FARMÁCIA EQUIVALENTE A HOSPITALAR</v>
          </cell>
          <cell r="C59" t="str">
            <v>30 DIAS**</v>
          </cell>
          <cell r="D59" t="str">
            <v>Assistência farmacêutica durante todo o horário de funcionamento da farmácia hospitalar. Para estabelecimentos privativos com menos de 50 leitos, não há obrigatoriedade de assistência integral.</v>
          </cell>
          <cell r="E59"/>
        </row>
        <row r="60">
          <cell r="A60" t="str">
            <v>FARMÁCIA HOMEOPÁTICA</v>
          </cell>
          <cell r="B60" t="str">
            <v>FARMÁCIA DE DISPENSAÇÃO COM MANIPULAÇÃO</v>
          </cell>
          <cell r="C60" t="str">
            <v>NÃO HÁ PRAZO</v>
          </cell>
          <cell r="D60" t="str">
            <v>Assistência farmacêutica durante todo o horário de funcionamento do estabelecimento.</v>
          </cell>
          <cell r="E60"/>
        </row>
        <row r="61">
          <cell r="A61" t="str">
            <v>FARMÁCIA HOSPITALAR</v>
          </cell>
          <cell r="B61" t="str">
            <v>FARMÁCIA HOSPITALAR</v>
          </cell>
          <cell r="C61" t="str">
            <v>30 DIAS**</v>
          </cell>
          <cell r="D61" t="str">
            <v>Assistência farmacêutica durante todo o horário de funcionamento da farmácia hospitalar. Para estabelecimentos privativos com menos de 50 leitos, não há obrigatoriedade de assistência integral.</v>
          </cell>
          <cell r="E61"/>
        </row>
        <row r="62">
          <cell r="A62" t="str">
            <v>FARMÁCIA PRIVATIVA DE EMPRESA OU ASSOCIAÇAO</v>
          </cell>
          <cell r="B62" t="str">
            <v xml:space="preserve"> FARMÁCIA DE DISPENSAÇÃO SEM MANIPULAÇÃO E DROGARIA</v>
          </cell>
          <cell r="C62" t="str">
            <v>30 DIAS</v>
          </cell>
          <cell r="D62" t="str">
            <v>Assistência farmacêutica durante todo o horário de funcionamento do estabelecimento.</v>
          </cell>
          <cell r="E62"/>
        </row>
        <row r="63">
          <cell r="A63" t="str">
            <v>FARMÁCIA SEM MANIPULAÇÃO OU DROGARIA</v>
          </cell>
          <cell r="B63" t="str">
            <v>FARMÁCIA SEM MANIPULAÇÃO OU DROGARIA</v>
          </cell>
          <cell r="C63" t="str">
            <v>30 DIAS</v>
          </cell>
          <cell r="D63" t="str">
            <v>Assistência farmacêutica durante todo o horário de funcionamento do estabelecimento.</v>
          </cell>
          <cell r="E63" t="str">
            <v>.</v>
          </cell>
        </row>
        <row r="64">
          <cell r="A64" t="str">
            <v>IMPORTADOR/EXPORTADOR DE MEDICAMENTOS</v>
          </cell>
          <cell r="B64" t="str">
            <v>DISTRIBUIDORA MEDICAMENTOS</v>
          </cell>
          <cell r="C64" t="str">
            <v>30 DIAS</v>
          </cell>
          <cell r="D64" t="str">
            <v>Assistência farmacêutica durante todo o horário de funcionamento do estabelecimento.</v>
          </cell>
          <cell r="E64"/>
        </row>
        <row r="65">
          <cell r="A65" t="str">
            <v>IMPORTADOR/EXPORTADOR DE PRODUTOS PARA SAÚDE</v>
          </cell>
          <cell r="B65" t="str">
            <v xml:space="preserve"> DISTRIBUIDORA DE CORRELATOS</v>
          </cell>
          <cell r="C65" t="str">
            <v>30 DIAS</v>
          </cell>
          <cell r="D65" t="str">
            <v>Não há exigência de carga horária mínima. O profissional pode optar por declarar ou não sua assistência; caso não a declare, deverá possuir disponibilidade para todo o horário de funcionamento.</v>
          </cell>
          <cell r="E65"/>
        </row>
        <row r="66">
          <cell r="A66" t="str">
            <v>INDÚSTRIA DE ALIMENTOS</v>
          </cell>
          <cell r="B66" t="str">
            <v>INDÚSTRIA DE MEDICAMENTOS E OUTRAS INDÚSTRIAS</v>
          </cell>
          <cell r="C66" t="str">
            <v>NÃO HÁ PRAZO</v>
          </cell>
          <cell r="D66" t="str">
            <v>Assistência integral durante todo o horário de produção declarado.</v>
          </cell>
          <cell r="E66"/>
        </row>
        <row r="67">
          <cell r="A67" t="str">
            <v>INDÚSTRIA DE ALIMENTOS FUNCIONAIS/ESPECIAIS</v>
          </cell>
          <cell r="B67" t="str">
            <v>INDÚSTRIA DE MEDICAMENTOS E OUTRAS INDÚSTRIAS</v>
          </cell>
          <cell r="C67" t="str">
            <v>NÃO HÁ PRAZO</v>
          </cell>
          <cell r="D67" t="str">
            <v>Assistência integral durante todo o horário de produção declarado.</v>
          </cell>
          <cell r="E67"/>
        </row>
        <row r="68">
          <cell r="A68" t="str">
            <v>INDÚSTRIA DE COSMÉTICOS/PERFUMARIA</v>
          </cell>
          <cell r="B68" t="str">
            <v>INDÚSTRIA DE MEDICAMENTOS E OUTRAS INDÚSTRIAS</v>
          </cell>
          <cell r="C68" t="str">
            <v>NÃO HÁ PRAZO</v>
          </cell>
          <cell r="D68" t="str">
            <v>Assistência integral durante todo o horário de produção declarado.</v>
          </cell>
          <cell r="E68"/>
        </row>
        <row r="69">
          <cell r="A69" t="str">
            <v>INDÚSTRIA DE INSUMOS</v>
          </cell>
          <cell r="B69" t="str">
            <v>INDÚSTRIA DE MEDICAMENTOS E OUTRAS INDÚSTRIAS</v>
          </cell>
          <cell r="C69" t="str">
            <v>NÃO HÁ PRAZO</v>
          </cell>
          <cell r="D69" t="str">
            <v>Assistência integral durante todo o horário de produção declarado.</v>
          </cell>
          <cell r="E69"/>
        </row>
        <row r="70">
          <cell r="A70" t="str">
            <v>INDÚSTRIA DE MEDICAMENTOS E OUTRAS INDÚSTRIAS</v>
          </cell>
          <cell r="B70" t="str">
            <v xml:space="preserve"> INDÚSTRIA DE MEDICAMENTOS E OUTRAS INDÚSTRIAS</v>
          </cell>
          <cell r="C70" t="str">
            <v>NÃO HÁ PRAZO</v>
          </cell>
          <cell r="D70" t="str">
            <v>Assistência integral durante todo o horário de produção declarado.</v>
          </cell>
          <cell r="E70"/>
        </row>
        <row r="71">
          <cell r="A71" t="str">
            <v>INDÚSTRIA DE PRODUTOS FARMACOPEICOS/FITOTERÁPICOS</v>
          </cell>
          <cell r="B71" t="str">
            <v>INDÚSTRIA DE MEDICAMENTOS E OUTRAS INDÚSTRIAS</v>
          </cell>
          <cell r="C71" t="str">
            <v>NÃO HÁ PRAZO</v>
          </cell>
          <cell r="D71" t="str">
            <v>Assistência integral durante todo o horário de produção declarado.</v>
          </cell>
          <cell r="E71"/>
        </row>
        <row r="72">
          <cell r="A72" t="str">
            <v>INDÚSTRIA DE PRODUTOS PARA SAÚDE</v>
          </cell>
          <cell r="B72" t="str">
            <v xml:space="preserve"> INDÚSTRIA DE MEDICAMENTOS E OUTRAS INDÚSTRIAS</v>
          </cell>
          <cell r="C72" t="str">
            <v>NÃO HÁ PRAZO</v>
          </cell>
          <cell r="D72" t="str">
            <v>Assistência integral durante todo o horário de produção declarado.</v>
          </cell>
          <cell r="E72"/>
        </row>
        <row r="73">
          <cell r="A73" t="str">
            <v>INDÚSTRIA DE SANEANTES</v>
          </cell>
          <cell r="B73" t="str">
            <v>INDÚSTRIA DE MEDICAMENTOS E OUTRAS INDÚSTRIAS</v>
          </cell>
          <cell r="C73" t="str">
            <v>NÃO HÁ PRAZO</v>
          </cell>
          <cell r="D73" t="str">
            <v>Assistência integral durante todo o horário de produção declarado.</v>
          </cell>
          <cell r="E73"/>
        </row>
        <row r="74">
          <cell r="A74" t="str">
            <v>INDÚSTRIA FARMACÊUTICA HOMEOPÁTICA</v>
          </cell>
          <cell r="B74" t="str">
            <v>INDÚSTRIA DE MEDICAMENTOS E OUTRAS INDÚSTRIAS</v>
          </cell>
          <cell r="C74" t="str">
            <v>NÃO HÁ PRAZO</v>
          </cell>
          <cell r="D74" t="str">
            <v>Assistência integral durante todo o horário de produção declarado.</v>
          </cell>
          <cell r="E74"/>
        </row>
        <row r="75">
          <cell r="A75" t="str">
            <v>LABORATÓRIO DE ANÁLISES CLÍNICAS</v>
          </cell>
          <cell r="B75" t="str">
            <v>LABORATÓRIO DE ANÁLISES CLÍNICAS</v>
          </cell>
          <cell r="C75" t="str">
            <v>NÃO HÁ PRAZO</v>
          </cell>
          <cell r="D75" t="str">
            <v>O profissional não deve declarar sua assistência; e deverá possuir disponibilidade para todo o horário de funcionamento.</v>
          </cell>
          <cell r="E75"/>
        </row>
        <row r="76">
          <cell r="A76" t="str">
            <v>LABORATÓRIO DE AGÊNCIA TRANSFUSIONAL</v>
          </cell>
          <cell r="B76" t="str">
            <v>LABORATÓRIO DE ANÁLISES CLÍNICAS</v>
          </cell>
          <cell r="C76" t="str">
            <v>NÃO HÁ PRAZO</v>
          </cell>
          <cell r="D76" t="str">
            <v>O profissional não deve declarar sua assistência; e deverá possuir disponibilidade para todo o horário de funcionamento.</v>
          </cell>
          <cell r="E76"/>
        </row>
        <row r="77">
          <cell r="A77" t="str">
            <v>LABORATÓRIO DE CONTROLE DE QUALIDADE</v>
          </cell>
          <cell r="B77" t="str">
            <v>LABORATÓRIO INDUSTRIAL</v>
          </cell>
          <cell r="C77" t="str">
            <v>NÃO HÁ PRAZO</v>
          </cell>
          <cell r="D77" t="str">
            <v>Assistência integral durante todo o horário de produção declarado.</v>
          </cell>
          <cell r="E77"/>
        </row>
        <row r="78">
          <cell r="A78" t="str">
            <v>LABORATÓRIO DE CONTROLE DE QUALIDADE/ANÁLISES BROMATOLÓGICAS</v>
          </cell>
          <cell r="B78" t="str">
            <v>OUTROS LABORATÓRIOS</v>
          </cell>
          <cell r="C78" t="str">
            <v>NÃO HÁ PRAZO</v>
          </cell>
          <cell r="D78" t="str">
            <v>O profissional não declara horário e deve possuir disponibilidade para todo o período de funcionamento.</v>
          </cell>
          <cell r="E78"/>
        </row>
        <row r="79">
          <cell r="A79" t="str">
            <v>LABORATÓRIO DE ESTERILIZAÇÃO</v>
          </cell>
          <cell r="B79" t="str">
            <v>LABORATÓRIO INDUSTRIAL</v>
          </cell>
          <cell r="C79" t="str">
            <v>NÃO HÁ PRAZO</v>
          </cell>
          <cell r="D79" t="str">
            <v>Assistência integral durante todo o horário de produção declarado.</v>
          </cell>
          <cell r="E79"/>
        </row>
        <row r="80">
          <cell r="A80" t="str">
            <v>LABORATÓRIO DE PESQUISA</v>
          </cell>
          <cell r="B80" t="str">
            <v>LABORATÓRIO INDUSTRIAL</v>
          </cell>
          <cell r="C80" t="str">
            <v>NÃO HÁ PRAZO</v>
          </cell>
          <cell r="D80" t="str">
            <v>Assistência integral durante todo o horário de produção declarado.</v>
          </cell>
          <cell r="E80"/>
        </row>
        <row r="81">
          <cell r="A81" t="str">
            <v>LABORATÓRIO DE PESQUISA/DESENVOLVIMENTO DE MEDICAMENTOS</v>
          </cell>
          <cell r="B81" t="str">
            <v>LABORATÓRIO INDUSTRIAL</v>
          </cell>
          <cell r="C81" t="str">
            <v>NÃO HÁ PRAZO</v>
          </cell>
          <cell r="D81" t="str">
            <v>Assistência integral durante todo o horário de produção declarado.</v>
          </cell>
          <cell r="E81"/>
        </row>
        <row r="82">
          <cell r="A82" t="str">
            <v>LABORATÓRIO INDUSTRIAL</v>
          </cell>
          <cell r="B82" t="str">
            <v>LABORATÓRIO INDUSTRIAL</v>
          </cell>
          <cell r="C82" t="str">
            <v>NÃO HÁ PRAZO</v>
          </cell>
          <cell r="D82" t="str">
            <v>Assistência integral durante todo o horário de produção declarado.</v>
          </cell>
          <cell r="E82"/>
        </row>
        <row r="83">
          <cell r="A83" t="str">
            <v>NASF</v>
          </cell>
          <cell r="B83" t="str">
            <v>CONSULTÓRIOS FARMACÊUTICOS</v>
          </cell>
          <cell r="C83" t="str">
            <v>NÃO HÁ PRAZO</v>
          </cell>
          <cell r="D83" t="str">
            <v>Não há exigência de carga horária mínima. O profissional pode optar por declarar ou não sua assistência.</v>
          </cell>
          <cell r="E83"/>
        </row>
        <row r="84">
          <cell r="A84" t="str">
            <v>OPERADOR LOGÍSTICO</v>
          </cell>
          <cell r="B84" t="str">
            <v>DISTRIBUIDORA DE MEDICAMENTOS OU CORRELATOS</v>
          </cell>
          <cell r="C84" t="str">
            <v>30 DIAS</v>
          </cell>
          <cell r="D84" t="str">
            <v>Caso haja medicamentos, a assistência deverá ocorrer durante todo o horário de funcionamento. Caso não haja medicamentos, não há carga horária mínima, podendo o profissional declarar ou não sua assistência, desde que possua disponibilidade de horário.</v>
          </cell>
          <cell r="E84"/>
        </row>
        <row r="85">
          <cell r="A85" t="str">
            <v>OUTRAS DISTRIBUIDORAS</v>
          </cell>
          <cell r="B85" t="str">
            <v>DISTRIBUIDORA DE MEDICAMENTOS OU CORRELATOS</v>
          </cell>
          <cell r="C85" t="str">
            <v>30 DIAS</v>
          </cell>
          <cell r="D85" t="str">
            <v>Caso haja medicamentos, a assistência deverá ocorrer durante todo o horário de funcionamento. Caso não haja medicamentos, não há carga horária mínima, podendo o profissional declarar ou não sua assistência, desde que possua disponibilidade de horário.</v>
          </cell>
          <cell r="E85"/>
        </row>
        <row r="86">
          <cell r="A86" t="str">
            <v>OUTRAS INDÚSTRIAS</v>
          </cell>
          <cell r="B86" t="str">
            <v>OUTRAS INDÚSTRIAS</v>
          </cell>
          <cell r="C86" t="str">
            <v>NÃO HÁ PRAZO</v>
          </cell>
          <cell r="D86" t="str">
            <v>Assistência integral durante todo o horário de produção declarado.</v>
          </cell>
          <cell r="E86"/>
        </row>
        <row r="87">
          <cell r="A87" t="str">
            <v>OUTROS LABORATÓRIOS</v>
          </cell>
          <cell r="B87" t="str">
            <v>NÃO CLASSIFICADOS COMO LAB. DE ANALISES CLÍNICAS DE ROTINA</v>
          </cell>
          <cell r="C87" t="str">
            <v>NÃO HÁ PRAZO</v>
          </cell>
          <cell r="D87" t="str">
            <v>O profissional não declara horário e deverá possuir disponibilidade para todo o período de funcionamento.</v>
          </cell>
          <cell r="E87"/>
        </row>
        <row r="88">
          <cell r="A88" t="str">
            <v>POSTO DE COLETA</v>
          </cell>
          <cell r="B88" t="str">
            <v>POSTO DE COLETA</v>
          </cell>
          <cell r="C88" t="str">
            <v>NÃO HÁ PRAZO</v>
          </cell>
          <cell r="D88" t="str">
            <v>O profissional não declara horário e deverá possuir disponibilidade para todo o período de funcionamento.</v>
          </cell>
          <cell r="E88"/>
        </row>
        <row r="89">
          <cell r="A89" t="str">
            <v>PRESTAÇÃO DE SERVIÇOS FARMACÊUTICOS</v>
          </cell>
          <cell r="B89" t="str">
            <v>PRESTADORA DE SERVIÇOS</v>
          </cell>
          <cell r="C89" t="str">
            <v>NÃO HÁ PRAZO</v>
          </cell>
          <cell r="D89" t="str">
            <v>Não há exigência de carga horária mínima. O profissional pode optar por declarar ou não sua assistência.</v>
          </cell>
          <cell r="E89"/>
        </row>
        <row r="90">
          <cell r="A90" t="str">
            <v>SERVIÇO DE ACUPUNTURA</v>
          </cell>
          <cell r="B90" t="str">
            <v>CONSULTÓRIOS FARMACÊUTICOS</v>
          </cell>
          <cell r="C90" t="str">
            <v>NÃO HÁ PRAZO</v>
          </cell>
          <cell r="D90" t="str">
            <v>Não há exigência de carga horária mínima. O profissional pode optar por declarar ou não sua assistência.</v>
          </cell>
          <cell r="E90"/>
        </row>
        <row r="91">
          <cell r="A91" t="str">
            <v>SERVIÇO DE HEMOTERAPIA/BANCO DE SANGUE</v>
          </cell>
          <cell r="B91" t="str">
            <v>LABORATÓRIO DE ANÁLISES CLÍNICAS</v>
          </cell>
          <cell r="C91" t="str">
            <v>NÃO HÁ PRAZO</v>
          </cell>
          <cell r="D91" t="str">
            <v>O profissional não declara horário e deverá possuir disponibilidade para todo o período de funcionamento.</v>
          </cell>
          <cell r="E91"/>
        </row>
        <row r="92">
          <cell r="A92" t="str">
            <v>TRANSPORTADORA</v>
          </cell>
          <cell r="B92" t="str">
            <v>TRANSPORTADORA</v>
          </cell>
          <cell r="C92" t="str">
            <v>30 DIAS</v>
          </cell>
          <cell r="D92" t="str">
            <v>Assistência de, no mínimo, 4 horas diárias contínuas, de segunda a sexta-feira, compreendidas entre 5h e 22h.</v>
          </cell>
          <cell r="E92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</sheetNames>
    <sheetDataSet>
      <sheetData sheetId="0">
        <row r="1">
          <cell r="A1" t="str">
            <v>SOLICITAÇÃO DE CORREÇÃO</v>
          </cell>
          <cell r="B1" t="str">
            <v>Documentação incorreta ou incompleta.
Enviar/anexar no prazo de 01 dia útil acessando a tela inicial do CRF/PR em Casa, no atalho dos menus mais utilizados, em Protocolos, no ícone de "Protocolos Aguardando Resposta":
Alertamos que documentos enviados errados ou não enviados dentro do prazo estará sujeito ao indeferimento com necessidade de reinício do procedimento</v>
          </cell>
        </row>
        <row r="2">
          <cell r="A2" t="str">
            <v>INDEFERIMENTO</v>
          </cell>
          <cell r="B2" t="str">
            <v>Procedimento indeferido, pois os documentos exigidos não foram enviados no prazo solicitado. 
**POR FAVOR, REINICIAR O PROCEDIMENTO VIA CRF EM CASA REENCAMINHANDO TODA A DOCUMENTAÇÃO, JUNTAMENTE COM A CORREÇÃO SOLICITADA.**
Ficou pendente:</v>
          </cell>
        </row>
        <row r="3">
          <cell r="A3" t="str">
            <v>ARQUIVAMENTO PROTOCOLO DUPLICADO</v>
          </cell>
          <cell r="B3" t="str">
            <v xml:space="preserve">Procedimento arquivado tendo em vista o requerimento ter ocorrido em mais de um protocolo. O procedimento será realizado OU foi finalizado por meio do protocolo n.° XXXXXXXX.
</v>
          </cell>
        </row>
        <row r="4">
          <cell r="A4" t="str">
            <v>ARQUIVAMENTO EMPRESA INCORRETA</v>
          </cell>
          <cell r="B4" t="str">
            <v>**Protocolo arquivado**
Documentos apresentados são referentes a outro estabelecimento. Favor reiniciar o procedimento reencaminhando toda a documentação no estabelecimento correto, de inscrição nº (caso tenha o CNPJ e seja fácil a consulta)</v>
          </cell>
        </row>
        <row r="5">
          <cell r="A5" t="str">
            <v>ARQUIVAMENTO RESPOSTA DE CORREÇÃO</v>
          </cell>
          <cell r="B5" t="str">
            <v>**Protocolo arquivado**
Procedimento finalizado por meio do protocolo de nº XXXXXXXX
Por favor, não criar um novo protocolo. A correção deve ser enviada em resposta ao protocolo já criado anteriormente. No CRF em Casa, no atalho dos menus mais utilizados, em protocolos, acesse o ícone "Protocolos Aguardando Resposta", selecione o protocolo e anexe os documentos solicitados.</v>
          </cell>
        </row>
        <row r="6">
          <cell r="A6" t="str">
            <v>FORMULÁRIOS - REQUERIMENTO DO ESTABELECIMENTO</v>
          </cell>
          <cell r="B6" t="str">
            <v>Termo de Compromisso do farmacêutico requerente: cada profissional que está ingressando ou alterando horários/modalidade deve gerar o seu termo. Acesso ao e-Form: https://servicos.crf-pr.org.br/</v>
          </cell>
        </row>
        <row r="7">
          <cell r="A7" t="str">
            <v>FORMULÁRIOS - TERMO DE COMPROMISSO</v>
          </cell>
          <cell r="B7" t="str">
            <v>Requerimento deve informar o horário de funcionamento do estabelecimento. Deverá ser gerado pelo farmacêutico Diretor Técnico via e-Form, utilizando o CPF e a senha de acesso do CRF-PR em Casa. Acesso ao e-Form: https://servicos.crf-pr.org.br/</v>
          </cell>
        </row>
        <row r="8">
          <cell r="A8" t="str">
            <v>FORMULÁRIOS - FORMULÁRIOS ANTIGOS</v>
          </cell>
          <cell r="B8" t="str">
            <v>Formulários apresentados estão datados de __/__/2025. Deverão apresentar novo Requerimento do Estabelecimento e/ou Temo de Compromisso atualizados, com data de no máximo 30 dias de antecedência do protocolo, gerados pelo e-Form 
Acesso ao e-Form: https://servicos.crf-pr.org.br/</v>
          </cell>
        </row>
        <row r="9">
          <cell r="A9" t="str">
            <v>VÍNCULO DE TRABALHO - SEM APRESENTAR DOCUMENTOS (COMPLEMENTAR COM UMA OPÇÃO ABAIXO)</v>
          </cell>
          <cell r="B9" t="str">
            <v>Pode ser apresentado, alternativamente:
a)	Carteira de Trabalho
b)	Contrato de Prestação de Serviços + Alvará de Autônomo
c)	Contrato Social (caso o profissional seja sócio) 
d)	Servidor público: Portaria, Decreto ou Equivalente de nomeação, publicada em diário oficial do órgão interessado;</v>
          </cell>
        </row>
        <row r="10">
          <cell r="A10" t="str">
            <v>VÍNCULO DE TRABALHO - CTPS</v>
          </cell>
          <cell r="B10" t="str">
            <v>•	CTPS
 Caso seja CTPS Física: deverá enviar Página de identificação, Página de qualificação civil, Página de Registro do contrato preenchida e assinada pelo contratante.
 Caso seja CTPS Digital: deverá enviar o arquivo que contenha na mesma página os dados pessoais e o contrato ativo com o estabelecimento.
Orientações para emitir o documento da CTPS Digital:
a. Após acessar o aplicativo da Carteira de Trabalho Digital
b. Clique em Enviar Carteira de Trabalho Digital;
c. Clique no ícone “PDF” que aparece no canto inferior direito;
d. O aplicativo irá gerar um arquivo com os Dados Pessoais e o Contrato de Trabalho do profissional na mesma página.
e. Salve este arquivo em PDF.</v>
          </cell>
        </row>
        <row r="11">
          <cell r="A11" t="str">
            <v xml:space="preserve">VÍNCULO DE TRABALHO - CONTRATO </v>
          </cell>
          <cell r="B11" t="str">
            <v xml:space="preserve">•	CONTRATO
 - Contrato de prestação de serviço entre as partes, contendo: cargo de Farmacêutico, carga horária exercida e remuneração compatível com o piso da categoria.
- Alvará de Autônomo emitido pela Prefeitura Municipal
** Caso o Alvará de Autônomo esteja em emissão pela prefeitura, é possível a apresentação do protocolo da solicitação. Contudo, a emissão da Certidão de Regularidade fica condicionada ao recebimento posterior do Alvará de Autônomo. Nesse caso, deverá ser protocolado pelo profissional exclusivamente pelo CRF-PR Em Casa, em Serviços → Mais Serviços ao Profissional → Alvará de Autônomo (Web).
</v>
          </cell>
        </row>
        <row r="12">
          <cell r="A12" t="str">
            <v>VÍNCULO DE TRABALHO - CONTRATOS PÚBLICOS</v>
          </cell>
          <cell r="B12" t="str">
            <v>•	CONTRATOS PÚBLICOS
- A validade do contrato deve ter duração mínima de 3 meses. Solicitamos o envio do termo aditivo ou caso ainda não possuam, informamos que como a validade do contrato apresentado é inferior a 90 dias da data do protocolo, a emissão da CRT fica condicionada à apresentação de Termo Aditivo do Contrato.</v>
          </cell>
        </row>
        <row r="13">
          <cell r="A13" t="str">
            <v>VÍNCULO DE TRABALHO - ALVARÁ</v>
          </cell>
          <cell r="B13" t="str">
            <v>Como foi apresentado o Contrato de Trabalho/Prestação de Serviços, deverão apresentar o Alvará de Autônomo do profissional em complemento.
Caso o Alvará de Autônomo esteja em emissão pela prefeitura, é possível a apresentação do protocolo da solicitação. Contudo, a emissão da Certidão de Regularidade fica condicionada ao recebimento posterior do Alvará de Autônomo. Deverá ser protocolado pelo profissional exclusivamente pelo CRF-PR Em Casa, em Serviços → Mais Serviços ao Profissional → Alvará de Autônomo (Web).</v>
          </cell>
        </row>
        <row r="14">
          <cell r="A14" t="str">
            <v>VÍNCULO DE TRABALHO - E-Social</v>
          </cell>
          <cell r="B14" t="str">
            <v>Caso não tenha a CTPS Digital atualizada, solicitamos o envio do "Relatório dos DADOS CADASTRAIS OU CONTRATUAIS do E-SOCIAL". Este relatório deverá informar todos os dados cadastrais do profissional, informações do vínculo, informações do contrato de trabalho, que devem incluir CNPJ que exercerá as atividades, cargo, salário e horários.
Orientações para emitir o Relatório do E-Social:
a. No menu, selecione Empregado e depois Gestão de Empregados.
b. Consulte o empregado pelo CPF.
c. Selecione Dados Contratuais.
d. O relatório completo aparecerá na tela.
e. Solicite a impressão da página, utilizando o comando CTRL + P
f. Imprimir em PDF.</v>
          </cell>
        </row>
        <row r="15">
          <cell r="A15" t="str">
            <v>VÍNCULO DE TRABALHO - DECLARAÇÃO DE LOTAÇÃO</v>
          </cell>
          <cell r="B15" t="str">
            <v xml:space="preserve">Considerando que o registro do profissional não é diretamente com o estabelecimento, solicitamos o envio de uma Declaração de Lotação emitida pela empresa ____________ informando que o(a) profissional ____________ exercerá suas atividades na empresa ____________ (CNPJ: **.***.***/0000-01).
</v>
          </cell>
        </row>
        <row r="16">
          <cell r="A16" t="str">
            <v>VÍNCULO DE TRABALHO - MEI</v>
          </cell>
          <cell r="B16" t="str">
            <v xml:space="preserve">Não é permitido ao farmacêutico desempenhar suas funções como Microempreendedor Individual (MEI), conforme parágrafo único do art. 966 da Lei 10.406/2002. Além disso, a  atividade não consta na lista de ocupações permitidas disposta no Anexo XI da Resolução CGSN Nº 140/2018.
Sendo assim, deverá alterar a categoria da empresa ou apresentar um contrato entre pessoa física, contendo: cargo de Farmacêutico, carga horária exercida e remuneração compatível com o piso da categoria, além do Alvará de Autônomo </v>
          </cell>
        </row>
        <row r="17">
          <cell r="A17" t="str">
            <v>TRANSFERÊNCIAS - GRUPO ECONÔMICO</v>
          </cell>
          <cell r="B17" t="str">
            <v>Tendo em vista que o profissional está contratado por uma empresa do mesmo grupo econômico, deverão apresentar:
Carteira de Trabalho com a transferência para o CNPJ **.***.***/0000-01 OU o Extrato do e-Social completo (com data da alteração e dados da troca de CNPJ).
OU 
Contrato de prestação de serviços entre os estabelecimentos, juntamente com uma declaração de lotação redigida e assinada pela empresa contratante ____________ informando o local que o profissional exercerá suas atividades.
Modelo de Declaração de Lotação: 
"Qualificação do estabelecimento (Nome, endereço e CNPJ Matriz)... declara que o farmacêutico (Dados pessoais e nº inscrição CRF)... a partir da data __/__/__ passará a exercer suas atividades na seguinte empresa  (Nome, endereço completo e CNPJ da filial). 
Data, Local e Assinatura do Representante Legal do Estabelecimento"</v>
          </cell>
        </row>
        <row r="18">
          <cell r="A18" t="str">
            <v>TRANSFERÊNCIAS - FILIAIS</v>
          </cell>
          <cell r="B18" t="str">
            <v xml:space="preserve">No caso de transferência entre filiais, a transferência do profissional deve constar na CTPS.
Nos casos em que CTPS não atualizar imediatamente, poderá ser apresentado Relatório do E-social  - neste caso, já no CNPJ correto e com a transferência anotada no campo designado para tal.
</v>
          </cell>
        </row>
        <row r="19">
          <cell r="A19" t="str">
            <v>VÍNCULO ABERTO NA CTPS</v>
          </cell>
          <cell r="B19" t="str">
            <v xml:space="preserve">A Carteira de Trabalho do profissional ____________apresenta vínculo em aberto no(s) seguinte(s) estabelecimento(s): Razão Social ____________, CNPJ: **.***.***/0000-01
Caso não trabalhe mais no estabelecimento, deverá comprovar a quebra de vínculo. Poderá enviar foto do registro da CTPS Física que conste a data de saída e assinatura do empregador. Ou então, fazer uma declaração de próprio punho, informando que não possui mais vínculo com o estabelecimento (informar razão social e CNPJ), devendo estar assinada pelo profissional.
Caso ainda tenha vínculo, o estabelecimento citado acima deverá emitir uma declaração informando os dias da semana e os horários que o profissional exerce suas atividades. A declaração deverá estar devidamente assinada pelo representante legal do estabelecimento.
</v>
          </cell>
        </row>
        <row r="20">
          <cell r="A20" t="str">
            <v>DECLAROU OUTRAS ATIVIDADES</v>
          </cell>
          <cell r="B20" t="str">
            <v>Como a profissional informou no Termo de Compromisso que exerce outras atividades profissionais no(a) ____________ deverá apresentar uma Declaração deste estabelecimento assinada pelo representante legal, contendo o CNPJ e endereço, informando os dias e os horários nos quais ela realiza essas atividades.</v>
          </cell>
        </row>
        <row r="21">
          <cell r="A21" t="str">
            <v xml:space="preserve">SALÁRIO ABAIXO DO PISO </v>
          </cell>
          <cell r="B21" t="str">
            <v xml:space="preserve">Salário do profissional ____________ está abaixo do piso. O proporcional para X horas é de 
R$ X.XXX,00. Deverão apresentar o documento de contratação do profissional com a remuneração corrigida.
Resolução 724/22 CFF - Art. 18 - É proibido a todos os inscritos no CRF local aceitar ou pagar remuneração abaixo do estabelecido como o piso salarial oriundo de acordo, convenção coletiva ou dissídio de categoria, quando aplicável.
</v>
          </cell>
        </row>
        <row r="22">
          <cell r="A22" t="str">
            <v>ASSINATURA COLADA</v>
          </cell>
          <cell r="B22" t="str">
            <v>Em protocolos a partir do dia 01/06/2024, assinaturas eletrônicas sem certificação não são aceitas, incluindo assinaturas digitais, "coladas" ou "desenhadas" no documento digital.
Reenviar os documentos assinados de uma das formas abaixo:
- Assinaturas eletrônicas acompanhadas de certificação digital emitidos pelo GOV.BR ou ICPBrasil.
OU
- Assinaturas de próprio punho acompanhadas do documento de identidade do signatário</v>
          </cell>
        </row>
        <row r="23">
          <cell r="A23" t="str">
            <v xml:space="preserve">ASSINATURAS DIGITAIS QUE NÃO VALIDAM </v>
          </cell>
          <cell r="B23" t="str">
            <v>Não foi possível validar a assinatura do(a) (nome da pessoa) no (especificar o documento). Os documentos estão sem assinatura reconhecível ou com assinatura corrompida. Deverão assinar novamente ou reencaminhar o arquivo original, sem que tenha sido modificado ou salvo em PDF para que não perca a sua validação</v>
          </cell>
        </row>
        <row r="24">
          <cell r="A24" t="str">
            <v>ASSINATURAS DIGITAIS QUE NÃO VALIDAM - CONTRATOS PÚBLICOS</v>
          </cell>
          <cell r="B24" t="str">
            <v>Não foi possível validar a assinatura do(a) (nome da pessoa) no (especificar o documento). Os documentos estão sem assinatura reconhecível ou com assinatura corrompida. Deverão assinar novamente ou reencaminhar o arquivo original, sem que tenha sido modificado ou salvo em PDF para que não perca a sua validação. 
**EXCEPCIONALMENTE QUANDO NÃO FOR POSSÍVEL VALIDAR A ASSINATURA PODERÁ SOLICITAR A COMPROVAÇÃO DA PUBLICAÇÃO DO MESMO**
 Não foi possível validar a assinatura do(a) (nome da pessoa) no (especificar o documento). Os documentos estão sem assinatura reconhecível ou com assinatura corrompida. Deverão assinar novamente ou reencaminhar o arquivo original, sem que tenha sido modificado ou salvo em PDF para que não perca a sua validação. 
Na impossibilidade de ser assinado novamente poderão apresentar o documento publicado (o contrato) em diário oficial.</v>
          </cell>
        </row>
        <row r="25">
          <cell r="A25" t="str">
            <v>DAP – ESTABELECIMENTO IRREGULAR</v>
          </cell>
          <cell r="B25" t="str">
            <v xml:space="preserve">PROTOCOLO INDEFERIDO.
Não é possível realizar o ingresso de DAP em estabelecimentos irregulares, conforme Artigo 3º da deliberação do CRF nº1004/2021.
Deverão primeiro regularizar o estabelecimento com assistência integral e após isso, reiniciar o procedimento via CRF EM CASA, reencaminhando toda a documentação. </v>
          </cell>
        </row>
        <row r="26">
          <cell r="A26" t="str">
            <v>DAP COBRINDO MAIS QUE 6 PROFISSIONAIS</v>
          </cell>
          <cell r="B26" t="str">
            <v>PROTOCOLO INDEFERIDO.
Não é possível realizar o ingresso do(a) profissional ____________ como DAP pois excede o limite de 06 farmacêuticos no qual poderia efetuar a substituição, conforme Artigo 5º da deliberação do CRF nº 1004/2021.</v>
          </cell>
        </row>
        <row r="27">
          <cell r="A27" t="str">
            <v>SEM INTERVALO DECLARADO</v>
          </cell>
          <cell r="B27" t="str">
            <v>Não é permitido ao profissional trabalhar mais que 06h diárias sem intervalo segundo a CLT. Necessário corrigir o termo de compromisso do(a) profissional ____________ informando ao menos 30 minutos de intervalo.
***Dependendo do tipo de estabelecimento e existência de outros profissionais, acrescentar***
Ressaltamos que legalmente, o estabelecimento deve apresentar farmacêutico por todo horário de funcionamento, de forma que poderá ser necessário a adequação do funcionamento ou ingresso de outro(s) profissional(is) para regularização.</v>
          </cell>
        </row>
        <row r="28">
          <cell r="A28" t="str">
            <v>CARGA HORÁRIA ACIMA DE 10 HORAS AO DIA</v>
          </cell>
          <cell r="B28" t="str">
            <v>Não é permitido ao profissional trabalhar mais que 10 horas por dia segundo a CLT (08h+02h extras). Necessário corrigir o termo de compromisso do(a) profissional ____________ adequando os seus horários.
***Dependendo do tipo de estabelecimento e existência de outros profissionais, acrescentar***
Ressaltamos que legalmente, o estabelecimento deve apresentar farmacêutico por todo horário de funcionamento, de forma que poderá ser necessário a adequação do funcionamento ou ingresso de outro(s) profissional(is) para regularização.</v>
          </cell>
        </row>
        <row r="29">
          <cell r="A29" t="str">
            <v>PROTOCOLOS - ESTABELECIMENTO JÁ POSSUI DIRETOR TÉCNICO</v>
          </cell>
          <cell r="B29" t="str">
            <v>PROTOCOLO INDEFERIDO.
**POR FAVOR, REINICIAR O PROCEDIMENTO VIA CRF EM CASA REENCAMINHANDO TODA A DOCUMENTAÇÃO, JUNTAMENTE COM A CORREÇÃO SOLICITADA/INFORMADA **
Não é possível ingressar o(a) profissional _______________como Diretor Técnico pois atualmente o estabelecimento já possui um diretor, que é o(a) profissional ______________. 
Só poderão ingressar um novo Diretor Técnico após o atual realizar a baixa de responsabilidade técnica ou alterar a sua modalidade.</v>
          </cell>
        </row>
        <row r="30">
          <cell r="A30" t="str">
            <v>PROTOCOLOS - LABORATÓRIO COM INGRESSO DE DIRETOR COM HORÁRIO DECLARADO QUE NÃO COBRE TODO HORÁRIO DE FUNCIONAMENTO:</v>
          </cell>
          <cell r="B30" t="str">
            <v>Conforme disposto no artigo 122 da Resolução RDC 978/2025, é preciso que haja supervisor do pessoal técnico, presencialmente, durante o período de funcionamento. Considerando que o(a) profissional _______________ está requerendo a responsabilidade técnica com horário de assistência que não contempla todo o funcionamento do laboratório, solicitamos a informação da disponibilidade de supervisor(res) técnico(s) legalmente(s) habilitado(s). 
Nesse sentido, deverá apresentar declaração informando o nome completo, profissão e número de registro profissional no órgão de classe do(s) supervisor(es).</v>
          </cell>
        </row>
        <row r="31">
          <cell r="A31" t="str">
            <v xml:space="preserve">PROTOCOLOS - DECLARAÇÃO DE ATIVIDADES DE ESTÉTICA </v>
          </cell>
          <cell r="B31" t="str">
            <v>Deverão apresentar uma declaração redigida e assinada pelo profissional esteta listando os procedimentos que serão realizados no estabelecimento.
Essa declaração elaborada pelo profissional deve conter o rol de procedimentos realizados conforme a nomenclatura técnica, nos termos dos procedimentos permitidos pelas Resoluções do CFF 616/2015 e 645/2017.
Não são aceitas nomenclaturas comerciais ou criadas pelo próprio profissional, visto que não é possível identificar o procedimento e/ou técnica utilizada, impossibilitando a análise acerca da permissão da atividade.
Procedimentos permitidos são: Toxina botulínica, Preenchimentos dérmicos, Carboxiterapia, Intradermoterapia/mesoterapia, Agulhamento e microagulhamento estético, Criolipólise, Fio lifting de autossustentação, Laserterapia ablativa e Peelings (conforme entendimento do CFF)
Procedimento PROIBIDOS, em decorrência da suspensão judicial da Resolução CFF 573/2013: Cosmetoterapia; Eletroterapia; Iontoforese; Laserterapia; Luz intensa pulsada; Radiofrequência estética e Sonoforese (ultrassom estético).</v>
          </cell>
        </row>
        <row r="32">
          <cell r="A32" t="str">
            <v>PROTOCOLOS - CONFLITO DE HORÁRIOS (OUTRA FILIAL)</v>
          </cell>
          <cell r="B32" t="str">
            <v>PROTOCOLO INDEFERIDO POR CONFLITO DE HORÁRIOS.
**POR FAVOR, REINICIAR O PROCEDIMENTO VIA CRF EM CASA REENCAMINHANDO TODA A DOCUMENTAÇÃO, JUNTAMENTE COM A CORREÇÃO SOLICITADA/INFORMADA **
Não é possível ingressar o(a) profissional ____________ pois ele(a) possui RT em outra filial dessa empresa em horários conflitantes com os declarados no Termo de Compromisso.
É necessário que o profissional realize a BAIXA DE RT nesse estabelecimento, via CRF Em Casa (Pessoa Física) OU ENTÃO a Alteração de Horários na outra filial/lotação.</v>
          </cell>
        </row>
        <row r="33">
          <cell r="A33" t="str">
            <v>PROTOCOLOS - CONFLITO DE HORÁRIOS (OUTRO ESTABELECIMENTO)</v>
          </cell>
          <cell r="B33" t="str">
            <v xml:space="preserve">PROTOCOLO INDEFERIDO POR CONFLITO DE HORÁRIOS.
**POR FAVOR, REINICIAR O PROCEDIMENTO VIA CRF EM CASA REENCAMINHANDO TODA A DOCUMENTAÇÃO, JUNTAMENTE COM A CORREÇÃO SOLICITADA/INFORMADA **
Não é possível realizar o ingresso do(a) profissional _____________ pois ele(a) possui outra RT conflitando com os horários com os horários informados no seu termo de compromisso.
É necessário que o profissional realize no outro estabelecimento a BAIXA DE RT (via CRF Em Casa - Pessoa Física) ou a adequação dos seus horários.
Sobre Baixa de RT: https://www.crf-pr.org.br/servico/view/128/baixa-de-responsabilidade-tecnica-3
Sobre Alteração de Horários: https://www.crf-pr.org.br/servico/view/139/alteracao-de-horario-ou-alteracao-de-modalidade-2
(VERIFICAR NECESSIDADE DOS LINKS)
</v>
          </cell>
        </row>
        <row r="34">
          <cell r="A34" t="str">
            <v>PROTOCOLOS - POSSUI RT COMO SUBSTITUTO</v>
          </cell>
          <cell r="B34" t="str">
            <v xml:space="preserve">PROTOCOLO INDEFERIDO POR CONFLITO DE HORÁRIOS.
**POR FAVOR, REINICIAR O PROCEDIMENTO VIA CRF EM CASA REENCAMINHANDO TODA A DOCUMENTAÇÃO, JUNTAMENTE COM A CORREÇÃO SOLICITADA/INFORMADA **
Não é possível realizar o ingresso do(a) profissional _____________ pois ele(a) possui outra RT como Substituto, conflitando com os horários informados no seu termo de compromisso.
O profissional na modalidade de Substituto não pode ter outra responsabilidade técnica no horário de funcionamento do estabelecimento.
É necessário que o profissional realize no outro estabelecimento a BAIXA DE RT (via CRF Em Casa - Pessoa Física) ou a adequação dos seus horários.
Sobre Baixa de RT: https://www.crf-pr.org.br/servico/view/128/baixa-de-responsabilidade-tecnica-3
Sobre Alteração de Horários: https://www.crf-pr.org.br/servico/view/139/alteracao-de-horario-ou-alteracao-de-modalidade-2
(VERIFICAR NECESSIDADE DOS LINKS)
</v>
          </cell>
        </row>
        <row r="35">
          <cell r="A35" t="str">
            <v>PROTOCOLOS -  QUER INGRESSAR COMO SUBSTITUTO, MAS TEM OUTRA RT</v>
          </cell>
          <cell r="B35" t="str">
            <v xml:space="preserve">PROTOCOLO INDEFERIDO POR CONFLITO DE HORÁRIOS.
**POR FAVOR, REINICIAR O PROCEDIMENTO VIA CRF EM CASA REENCAMINHANDO TODA A DOCUMENTAÇÃO, JUNTAMENTE COM A CORREÇÃO SOLICITADA/INFORMADA **
Não é possível realizar o ingresso do(a) profissional _____________ como substituto, pois ele(a) possui outra RT, conflitando com os horários com os horários informados no seu termo de compromisso.
O profissional na modalidade de Substituto não pode ter outra responsabilidade técnica pois precisa ter disponibilidade durante todo o horário de funcionamento desse estabelecimento.
É necessário que o profissional realize no outro estabelecimento a BAIXA DE RT (via CRF Em Casa  Pessoa Física) ou a adequação dos seus horários.
Sobre Baixa de RT: https://www.crf-pr.org.br/servico/view/128/baixa-de-responsabilidade-tecnica-3
Sobre Alteração de Horários: https://www.crf-pr.org.br/servico/view/139/alteracao-de-horario-ou-alteracao-de-modalidade-2
(VERIFICAR NECESSIDADE DOS LINKS)
</v>
          </cell>
        </row>
        <row r="36">
          <cell r="A36" t="str">
            <v>REGISTRO IRREGULAR</v>
          </cell>
          <cell r="B36" t="str">
            <v>Com os horários informados, o estabelecimento não contempla assistência integral. Falta profissional para os horários XX:XX às XX:XX / ou para as folgas do(s) profissional  ______________. 
Por se tratar de Registro, o estabelecimento precisa ter assistência por todo o horário de funcionamento e o procedimento não poderá ser finalizado se o estabelecimento ficar irregular. 
Dessa forma, é necessário readequar os horários, ou o processo será indeferido.</v>
          </cell>
        </row>
        <row r="37">
          <cell r="A37" t="str">
            <v>HABILITAÇÕES - HOSPITALAR</v>
          </cell>
          <cell r="B37" t="str">
            <v>O(a) profissional ___________ não apresentou documentos comprobatórios de habilitação em Farmácia Hospitalar. 
Para estar habilitado, deve atender pelo menos um dos critérios, conforme Artigo 2º da Deliberação nº 880/2016: 
a) comprovar conteúdo na área cursado na graduação de no mínimo 50h 
b) curso livre de no mínimo 80h 
C) ou ainda, título de especialista.
O profissional deverá protocolar a solicitação de habilitação via CRF-PR Em Casa (Pessoa Física), em "Serviços" -&gt; "Mais Serviços ao Profissional" -&gt; "Solicita Anotação de Título ou Habilitação Profissional (WEB)".
https://www.crf-pr.org.br/servico/view/17/anotacao-de-titulo-de-pos-graduacao
(VERIFICAR NECESSIDADE DO LINK)</v>
          </cell>
        </row>
        <row r="38">
          <cell r="A38" t="str">
            <v>HABILITAÇÕES - HOMEOPATIA</v>
          </cell>
          <cell r="B38" t="str">
            <v>O(a) profissional ___________ não apresentou documentos comprobatórios de habilitação em Homeopatia.
Para estar habilitado, deve atender pelo menos um dos critérios conforme Resolução 576/2013 CFF:
a) ter cursado a disciplina de homeopatia com conteúdo mínimo de 60 (sessenta) horas no curso de graduação, além de estágio obrigatório com o mínimo de 120 (cento e vinte) horas nas farmácias de Instituições de Ensino Superior ou conveniadas, em laboratórios de medicamentos e/ou de insumos homeopáticos.
B) possuir título de especialista ou curso de aprimoramento profissional em homeopatia que atenda as resoluções vigentes do Conselho Federal de Farmácia.
O profissional deverá protocolar a solicitação de habilitação via CRF-PR Em Casa (Pessoa Física), em "Serviços" -&gt; "Mais Serviços ao Profissional" -&gt; "Solicita Anotação de Título ou Habilitação Profissional (WEB)".
https://www.crf-pr.org.br/servico/view/17/anotacao-de-titulo-de-pos-graduacao
(VERIFICAR NECESSIDADE DO LINK)</v>
          </cell>
        </row>
        <row r="39">
          <cell r="A39" t="str">
            <v>HABILITAÇÕES - ONCOLOGIA</v>
          </cell>
          <cell r="B39" t="str">
            <v>O(a) profissional ____________ não apresentou documentos comprobatórios de habilitação em Oncologia.
Para estar habilitado, deve atender pelo menos um dos critérios, previstos na Resolução nº  640/2017 CFF:
a) ser portador de título de especialista emitido pela Sociedade Brasileira de Farmacêuticos em Oncologia (Sobrafo);
b) ter feito residência na área de Oncologia;
c) ser egresso de programa de pós-graduação lato sensu reconhecido pelo Ministério da Educação (MEC) relacionado à farmácia oncológica;
d) ter atuado por 3 (três) anos ou mais na área de oncologia até a data de 31 de dezembro de 2021, o que deve ser comprovado por meio de Carteira de trabalho e Previdência Social (CTPS) ou de contrato e declaração do serviço, com a devida descrição das atividades realizadas e do período de atuação.
Deverá protocolar a solicitação de habilitação via CRF-PR Em Casa (Pessoa Física), em "Serviços" -&gt; "Mais Serviços ao Profissional" -&gt; "Solicita Anotação de Título ou Habilitação Profissional (WEB)".
https://www.crf-pr.org.br/servico/view/17/anotacao-de-titulo-de-pos-graduacao
(VERIFICAR NECESSIDADE DO LINK)</v>
          </cell>
        </row>
        <row r="40">
          <cell r="A40" t="str">
            <v xml:space="preserve">HABILITAÇÕES - ESTÉTICA </v>
          </cell>
          <cell r="B40" t="str">
            <v>O(a) profissional __________ não apresentou documentos comprobatórios de habilitação em Farmácia Esteta.
Para estar habilitado, o profissional deve apresentar documento comprobatório da habilitação, conforme Resolução nº 616/15 do CFF. 
Deverá protocolar a solicitação de habilitação via CRF-PR Em Casa (Pessoa Física), em "Serviços" -&gt; "Mais Serviços ao Profissional" -&gt; "Solicita Anotação de Título ou Habilitação Profissional (WEB)".
https://www.crf-pr.org.br/servico/view/17/anotacao-de-titulo-de-pos-graduacao
(VERIFICAR NECESSIDADE DO LINK)</v>
          </cell>
        </row>
        <row r="41">
          <cell r="A41" t="str">
            <v>PROTOCOLO DE IRREGULAR – 209</v>
          </cell>
          <cell r="B41" t="str">
            <v xml:space="preserve">Em relação ao protocolo n° ____, informamos que o estabelecimento se encontra com assistência técnica insuficiente. A não regularização enseja em não emissão de certidão e a aplicação de autuações/multa para os horários sem assistência técnica nos termos da legislação vigente.
</v>
          </cell>
        </row>
        <row r="42">
          <cell r="A42" t="str">
            <v>SOLICITAÇÃO DE ESCALA VIA E-MAIL</v>
          </cell>
          <cell r="B42" t="str">
            <v xml:space="preserve">Bom dia! /Boa tarde!
 Em relação ao Protocolo n.º ____________ do estabelecimento ______________ CNPJ **.***.***/0000-01, informamos que a Certidão de Regularidade Técnica está condicionada à apresentação de uma escala de trabalho dos farmacêuticos para comprovação da integralidade da assistência. Deve ser apresentado escala de no mínimo 04 semanas, na qual informe os dias de folga e os horários de trabalho dos profissionais. Havendo profissional substituto, deve ser informado o horário de trabalho realizado nos dias de cobertura das folgas dos efetivos.
Deverão encaminhar a escala através do CRF-PR Em Casa no acesso de Pessoa Jurídica, opção "Serviços" -&gt; “Mais Serviços à Pessoa Jurídica” -&gt; “Escala de Assistência Farmacêutica (WEB)”.
</v>
          </cell>
        </row>
        <row r="43">
          <cell r="A43" t="str">
            <v>RESPOSTAS ESCALAS DEFERIDAS</v>
          </cell>
          <cell r="B43" t="str">
            <v>R: A escala apresentada comprova a assistência integral. Verificar a CRT a partir de 12/12/25.
R: A escala apresentada comprova a assistência integral. Verificar a CRT a partir das 18h de 06/11/25.
R: Escala apresentada contempla assistência integral, mas fere ACT por conceder apenas 1 domingo de folga.</v>
          </cell>
        </row>
        <row r="44">
          <cell r="A44" t="str">
            <v>RESPOSTAS ESCALAS INDEFERIDAS</v>
          </cell>
          <cell r="B44" t="str">
            <v>R: Procedimento indeferido, considerando o protocolo nº xxxxxxx, no qual o estabelecimento ainda se encontra irregular.
R: Para análise é necessário enviar a escala de serviços COMPLETA conforme Resolução do CFF 700/21 ART. 3°, Parágrafo 4°.		
R: Procedimento indeferido, pois xxxxxxxxxxxxxxxxxxxxxxxxxxxxxxxxxxx no qual o estabelecimento ainda se encontra irregular.</v>
          </cell>
        </row>
        <row r="45">
          <cell r="A45" t="str">
            <v>CANCELAMENTO DE REGISTRO PJ ANOTADO</v>
          </cell>
          <cell r="B45" t="str">
            <v>R: Procedimento de cancelamento de registro para apreciação no plenário de 12/12/25</v>
          </cell>
        </row>
        <row r="46">
          <cell r="A46" t="str">
            <v xml:space="preserve">DOCUMENTOS PARA CANCELAR REGISTRO PJ </v>
          </cell>
          <cell r="B46" t="str">
            <v xml:space="preserve">1. Para a baixa de registro do estabelecimento, primeiramente é necessário a baixa da Responsabilidade Técnica do farmacêutico diretor técnico, seguindo o procedimento orientado no site do CRF/PR, em serviços, pessoa física, Baixa de Responsabilidade técnica;
2. Após a realização do procedimento de baixa de responsabilidade técnica o representante legal do estabelecimento ou procurador devidamente constituído solicita o cancelamento de registro do estabelecimento, em serviços, mais serviços à pessoa jurídica, cancelamento de registro de pessoa jurídica.
2.1 A solicitação do representante Legal deverá conter o motivo do requerimento da baixa do registro, que poderá ser:
- Mudança na atividade comercial da empresa: alteração contratual arquivada pela Junta Comercial do Paraná, com a respectiva alteração do objeto social.
- Mudança de Conselho de classe profissional: apresentar Certidão de Regularidade ou Anotação de Responsabilidade Técnica emitida pelo outro Conselho Profissional.
- Encerramento das atividades: Declaração com deferimento expresso e assinado de encerramento das atividades na Vigilância Sanitária. 
- Comprovante de CNPJ baixado ou alteração contratual encerrando a filial.
- Se for prestadora de serviços enviar declaração assinada de próprio punho com a solicitação do cancelamento. 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idades"/>
      <sheetName val="ACT - atualizar aqui"/>
    </sheetNames>
    <sheetDataSet>
      <sheetData sheetId="0">
        <row r="2">
          <cell r="A2" t="str">
            <v>Abatia</v>
          </cell>
          <cell r="B2" t="str">
            <v>var_sto</v>
          </cell>
          <cell r="C2">
            <v>5030</v>
          </cell>
          <cell r="D2">
            <v>5030</v>
          </cell>
          <cell r="E2" t="str">
            <v>dist</v>
          </cell>
          <cell r="F2">
            <v>4764</v>
          </cell>
          <cell r="G2">
            <v>4515</v>
          </cell>
          <cell r="H2" t="str">
            <v>labo</v>
          </cell>
          <cell r="I2">
            <v>3763.08</v>
          </cell>
          <cell r="J2">
            <v>3573</v>
          </cell>
          <cell r="K2" t="str">
            <v>ind_pr</v>
          </cell>
          <cell r="L2">
            <v>4211.45</v>
          </cell>
          <cell r="M2">
            <v>0</v>
          </cell>
          <cell r="N2">
            <v>0</v>
          </cell>
          <cell r="O2" t="e">
            <v>#N/A</v>
          </cell>
          <cell r="P2" t="e">
            <v>#N/A</v>
          </cell>
        </row>
        <row r="3">
          <cell r="A3" t="str">
            <v>Adrianopolis</v>
          </cell>
          <cell r="B3" t="str">
            <v>var_pr</v>
          </cell>
          <cell r="C3">
            <v>4729.62</v>
          </cell>
          <cell r="D3">
            <v>4729.62</v>
          </cell>
          <cell r="E3" t="str">
            <v>dist</v>
          </cell>
          <cell r="F3">
            <v>4764</v>
          </cell>
          <cell r="G3">
            <v>4515</v>
          </cell>
          <cell r="H3" t="str">
            <v>labo</v>
          </cell>
          <cell r="I3">
            <v>3763.08</v>
          </cell>
          <cell r="J3">
            <v>3573</v>
          </cell>
          <cell r="K3" t="str">
            <v>ind_pr</v>
          </cell>
          <cell r="L3">
            <v>4211.45</v>
          </cell>
          <cell r="M3">
            <v>0</v>
          </cell>
          <cell r="N3" t="str">
            <v>hosp_pr</v>
          </cell>
          <cell r="O3">
            <v>4567</v>
          </cell>
          <cell r="P3">
            <v>0</v>
          </cell>
        </row>
        <row r="4">
          <cell r="A4" t="str">
            <v>Agudos do Sul</v>
          </cell>
          <cell r="B4" t="str">
            <v>var_pr</v>
          </cell>
          <cell r="C4">
            <v>4729.62</v>
          </cell>
          <cell r="D4">
            <v>4729.62</v>
          </cell>
          <cell r="E4" t="str">
            <v>dist</v>
          </cell>
          <cell r="F4">
            <v>4764</v>
          </cell>
          <cell r="G4">
            <v>4515</v>
          </cell>
          <cell r="H4" t="str">
            <v>labo</v>
          </cell>
          <cell r="I4">
            <v>3763.08</v>
          </cell>
          <cell r="J4">
            <v>3573</v>
          </cell>
          <cell r="K4" t="str">
            <v>ind_pr</v>
          </cell>
          <cell r="L4">
            <v>4211.45</v>
          </cell>
          <cell r="M4">
            <v>0</v>
          </cell>
          <cell r="N4" t="str">
            <v>hosp_pr</v>
          </cell>
          <cell r="O4">
            <v>4567</v>
          </cell>
          <cell r="P4">
            <v>0</v>
          </cell>
        </row>
        <row r="5">
          <cell r="A5" t="str">
            <v>Almirante Tamandare</v>
          </cell>
          <cell r="B5" t="str">
            <v>var_pr</v>
          </cell>
          <cell r="C5">
            <v>4729.62</v>
          </cell>
          <cell r="D5">
            <v>4729.62</v>
          </cell>
          <cell r="E5" t="str">
            <v>dist</v>
          </cell>
          <cell r="F5">
            <v>4764</v>
          </cell>
          <cell r="G5">
            <v>4515</v>
          </cell>
          <cell r="H5" t="str">
            <v>labo</v>
          </cell>
          <cell r="I5">
            <v>3763.08</v>
          </cell>
          <cell r="J5">
            <v>3573</v>
          </cell>
          <cell r="K5" t="str">
            <v>ind_pr</v>
          </cell>
          <cell r="L5">
            <v>4211.45</v>
          </cell>
          <cell r="M5">
            <v>0</v>
          </cell>
          <cell r="N5" t="str">
            <v>hosp_pr</v>
          </cell>
          <cell r="O5">
            <v>4567</v>
          </cell>
          <cell r="P5">
            <v>0</v>
          </cell>
        </row>
        <row r="6">
          <cell r="A6" t="str">
            <v>Altamira do Parana</v>
          </cell>
          <cell r="B6" t="str">
            <v>var_pr</v>
          </cell>
          <cell r="C6">
            <v>4729.62</v>
          </cell>
          <cell r="D6">
            <v>4729.62</v>
          </cell>
          <cell r="E6" t="str">
            <v>dist</v>
          </cell>
          <cell r="F6">
            <v>4764</v>
          </cell>
          <cell r="G6">
            <v>4515</v>
          </cell>
          <cell r="H6" t="str">
            <v>labo</v>
          </cell>
          <cell r="I6">
            <v>3763.08</v>
          </cell>
          <cell r="J6">
            <v>3573</v>
          </cell>
          <cell r="K6" t="str">
            <v>ind_pr</v>
          </cell>
          <cell r="L6">
            <v>4211.45</v>
          </cell>
          <cell r="M6">
            <v>0</v>
          </cell>
          <cell r="N6" t="str">
            <v>hosp_cm</v>
          </cell>
          <cell r="O6">
            <v>4133.2</v>
          </cell>
          <cell r="P6">
            <v>0</v>
          </cell>
        </row>
        <row r="7">
          <cell r="A7" t="str">
            <v>Alto Paraiso</v>
          </cell>
          <cell r="B7" t="str">
            <v>var_pr</v>
          </cell>
          <cell r="C7">
            <v>4729.62</v>
          </cell>
          <cell r="D7">
            <v>4729.62</v>
          </cell>
          <cell r="E7" t="str">
            <v>dist</v>
          </cell>
          <cell r="F7">
            <v>4764</v>
          </cell>
          <cell r="G7">
            <v>4515</v>
          </cell>
          <cell r="H7" t="str">
            <v>labo</v>
          </cell>
          <cell r="I7">
            <v>3763.08</v>
          </cell>
          <cell r="J7">
            <v>3573</v>
          </cell>
          <cell r="K7" t="str">
            <v>ind_pr</v>
          </cell>
          <cell r="L7">
            <v>4211.45</v>
          </cell>
          <cell r="M7">
            <v>0</v>
          </cell>
          <cell r="N7">
            <v>0</v>
          </cell>
          <cell r="O7" t="e">
            <v>#N/A</v>
          </cell>
          <cell r="P7" t="e">
            <v>#N/A</v>
          </cell>
        </row>
        <row r="8">
          <cell r="A8" t="str">
            <v>Alto Parana</v>
          </cell>
          <cell r="B8" t="str">
            <v>var_par</v>
          </cell>
          <cell r="C8">
            <v>4846</v>
          </cell>
          <cell r="D8">
            <v>4846</v>
          </cell>
          <cell r="E8" t="str">
            <v>dist</v>
          </cell>
          <cell r="F8">
            <v>4764</v>
          </cell>
          <cell r="G8">
            <v>4515</v>
          </cell>
          <cell r="H8" t="str">
            <v>labo</v>
          </cell>
          <cell r="I8">
            <v>3763.08</v>
          </cell>
          <cell r="J8">
            <v>3573</v>
          </cell>
          <cell r="K8" t="str">
            <v>ind_pr</v>
          </cell>
          <cell r="L8">
            <v>4211.45</v>
          </cell>
          <cell r="M8">
            <v>0</v>
          </cell>
          <cell r="N8">
            <v>0</v>
          </cell>
          <cell r="O8" t="e">
            <v>#N/A</v>
          </cell>
          <cell r="P8" t="e">
            <v>#N/A</v>
          </cell>
        </row>
        <row r="9">
          <cell r="A9" t="str">
            <v>Alto Piquiri</v>
          </cell>
          <cell r="B9" t="str">
            <v>var_pr</v>
          </cell>
          <cell r="C9">
            <v>4729.62</v>
          </cell>
          <cell r="D9">
            <v>4729.62</v>
          </cell>
          <cell r="E9" t="str">
            <v>dist</v>
          </cell>
          <cell r="F9">
            <v>4764</v>
          </cell>
          <cell r="G9">
            <v>4515</v>
          </cell>
          <cell r="H9" t="str">
            <v>labo</v>
          </cell>
          <cell r="I9">
            <v>3763.08</v>
          </cell>
          <cell r="J9">
            <v>3573</v>
          </cell>
          <cell r="K9" t="str">
            <v>ind_pr</v>
          </cell>
          <cell r="L9">
            <v>4211.45</v>
          </cell>
          <cell r="M9">
            <v>0</v>
          </cell>
          <cell r="N9" t="str">
            <v>hosp_umu</v>
          </cell>
          <cell r="O9">
            <v>2428.5500000000002</v>
          </cell>
          <cell r="P9">
            <v>0</v>
          </cell>
        </row>
        <row r="10">
          <cell r="A10" t="str">
            <v>Altonia</v>
          </cell>
          <cell r="B10" t="str">
            <v>var_pr</v>
          </cell>
          <cell r="C10">
            <v>4729.62</v>
          </cell>
          <cell r="D10">
            <v>4729.62</v>
          </cell>
          <cell r="E10" t="str">
            <v>dist</v>
          </cell>
          <cell r="F10">
            <v>4764</v>
          </cell>
          <cell r="G10">
            <v>4515</v>
          </cell>
          <cell r="H10" t="str">
            <v>labo</v>
          </cell>
          <cell r="I10">
            <v>3763.08</v>
          </cell>
          <cell r="J10">
            <v>3573</v>
          </cell>
          <cell r="K10" t="str">
            <v>ind_pr</v>
          </cell>
          <cell r="L10">
            <v>4211.45</v>
          </cell>
          <cell r="M10">
            <v>0</v>
          </cell>
          <cell r="N10" t="str">
            <v>hosp_umu</v>
          </cell>
          <cell r="O10">
            <v>2428.5500000000002</v>
          </cell>
          <cell r="P10">
            <v>0</v>
          </cell>
        </row>
        <row r="11">
          <cell r="A11" t="str">
            <v>Alvorada do Sul</v>
          </cell>
          <cell r="B11" t="str">
            <v>var_ld</v>
          </cell>
          <cell r="C11">
            <v>4750</v>
          </cell>
          <cell r="D11">
            <v>4527</v>
          </cell>
          <cell r="E11" t="str">
            <v>dist</v>
          </cell>
          <cell r="F11">
            <v>4764</v>
          </cell>
          <cell r="G11">
            <v>4515</v>
          </cell>
          <cell r="H11" t="str">
            <v>labo</v>
          </cell>
          <cell r="I11">
            <v>3763.08</v>
          </cell>
          <cell r="J11">
            <v>3573</v>
          </cell>
          <cell r="K11" t="str">
            <v>ind_pr</v>
          </cell>
          <cell r="L11">
            <v>4211.45</v>
          </cell>
          <cell r="M11">
            <v>0</v>
          </cell>
          <cell r="N11">
            <v>0</v>
          </cell>
          <cell r="O11" t="e">
            <v>#N/A</v>
          </cell>
          <cell r="P11" t="e">
            <v>#N/A</v>
          </cell>
        </row>
        <row r="12">
          <cell r="A12" t="str">
            <v>Amapora</v>
          </cell>
          <cell r="B12" t="str">
            <v>var_par</v>
          </cell>
          <cell r="C12">
            <v>4846</v>
          </cell>
          <cell r="D12">
            <v>4846</v>
          </cell>
          <cell r="E12" t="str">
            <v>dist</v>
          </cell>
          <cell r="F12">
            <v>4764</v>
          </cell>
          <cell r="G12">
            <v>4515</v>
          </cell>
          <cell r="H12" t="str">
            <v>labo</v>
          </cell>
          <cell r="I12">
            <v>3763.08</v>
          </cell>
          <cell r="J12">
            <v>3573</v>
          </cell>
          <cell r="K12" t="str">
            <v>ind_pr</v>
          </cell>
          <cell r="L12">
            <v>4211.45</v>
          </cell>
          <cell r="M12">
            <v>0</v>
          </cell>
          <cell r="N12">
            <v>0</v>
          </cell>
          <cell r="O12" t="e">
            <v>#N/A</v>
          </cell>
          <cell r="P12" t="e">
            <v>#N/A</v>
          </cell>
        </row>
        <row r="13">
          <cell r="A13" t="str">
            <v>Ampere</v>
          </cell>
          <cell r="B13" t="str">
            <v>var_pr</v>
          </cell>
          <cell r="C13">
            <v>4729.62</v>
          </cell>
          <cell r="D13">
            <v>4729.62</v>
          </cell>
          <cell r="E13" t="str">
            <v>dist</v>
          </cell>
          <cell r="F13">
            <v>4764</v>
          </cell>
          <cell r="G13">
            <v>4515</v>
          </cell>
          <cell r="H13" t="str">
            <v>labo</v>
          </cell>
          <cell r="I13">
            <v>3763.08</v>
          </cell>
          <cell r="J13">
            <v>3573</v>
          </cell>
          <cell r="K13" t="str">
            <v>ind_pr</v>
          </cell>
          <cell r="L13">
            <v>4211.45</v>
          </cell>
          <cell r="M13">
            <v>0</v>
          </cell>
          <cell r="N13" t="str">
            <v>hosp_sudpr</v>
          </cell>
          <cell r="O13">
            <v>1760</v>
          </cell>
          <cell r="P13">
            <v>0</v>
          </cell>
        </row>
        <row r="14">
          <cell r="A14" t="str">
            <v>Anahy</v>
          </cell>
          <cell r="B14" t="str">
            <v>var_op</v>
          </cell>
          <cell r="C14">
            <v>4410</v>
          </cell>
          <cell r="D14">
            <v>4219</v>
          </cell>
          <cell r="E14" t="str">
            <v>dist</v>
          </cell>
          <cell r="F14">
            <v>4764</v>
          </cell>
          <cell r="G14">
            <v>4515</v>
          </cell>
          <cell r="H14" t="str">
            <v>labo</v>
          </cell>
          <cell r="I14">
            <v>3763.08</v>
          </cell>
          <cell r="J14">
            <v>3573</v>
          </cell>
          <cell r="K14" t="str">
            <v>ind_pr</v>
          </cell>
          <cell r="L14">
            <v>4211.45</v>
          </cell>
          <cell r="M14">
            <v>0</v>
          </cell>
          <cell r="N14">
            <v>0</v>
          </cell>
          <cell r="O14" t="e">
            <v>#N/A</v>
          </cell>
          <cell r="P14" t="e">
            <v>#N/A</v>
          </cell>
        </row>
        <row r="15">
          <cell r="A15" t="str">
            <v>Andira</v>
          </cell>
          <cell r="B15" t="str">
            <v>var_ld</v>
          </cell>
          <cell r="C15">
            <v>4750</v>
          </cell>
          <cell r="D15">
            <v>4527</v>
          </cell>
          <cell r="E15" t="str">
            <v>dist</v>
          </cell>
          <cell r="F15">
            <v>4764</v>
          </cell>
          <cell r="G15">
            <v>4515</v>
          </cell>
          <cell r="H15" t="str">
            <v>labo</v>
          </cell>
          <cell r="I15">
            <v>3763.08</v>
          </cell>
          <cell r="J15">
            <v>3573</v>
          </cell>
          <cell r="K15" t="str">
            <v>ind_pr</v>
          </cell>
          <cell r="L15">
            <v>4211.45</v>
          </cell>
          <cell r="M15">
            <v>0</v>
          </cell>
          <cell r="N15" t="str">
            <v>hosp_nor</v>
          </cell>
          <cell r="O15">
            <v>1760</v>
          </cell>
          <cell r="P15">
            <v>0</v>
          </cell>
        </row>
        <row r="16">
          <cell r="A16" t="str">
            <v>Angulo</v>
          </cell>
          <cell r="B16" t="str">
            <v>var_pr</v>
          </cell>
          <cell r="C16">
            <v>4729.62</v>
          </cell>
          <cell r="D16">
            <v>4729.62</v>
          </cell>
          <cell r="E16" t="str">
            <v>dist</v>
          </cell>
          <cell r="F16">
            <v>4764</v>
          </cell>
          <cell r="G16">
            <v>4515</v>
          </cell>
          <cell r="H16" t="str">
            <v>labo</v>
          </cell>
          <cell r="I16">
            <v>3763.08</v>
          </cell>
          <cell r="J16">
            <v>3573</v>
          </cell>
          <cell r="K16" t="str">
            <v>ind_pr</v>
          </cell>
          <cell r="L16">
            <v>4211.45</v>
          </cell>
          <cell r="M16">
            <v>0</v>
          </cell>
          <cell r="N16">
            <v>0</v>
          </cell>
          <cell r="O16" t="e">
            <v>#N/A</v>
          </cell>
          <cell r="P16" t="e">
            <v>#N/A</v>
          </cell>
        </row>
        <row r="17">
          <cell r="A17" t="str">
            <v>Antonina</v>
          </cell>
          <cell r="B17" t="str">
            <v>var_pr</v>
          </cell>
          <cell r="C17">
            <v>4729.62</v>
          </cell>
          <cell r="D17">
            <v>4729.62</v>
          </cell>
          <cell r="E17" t="str">
            <v>dist</v>
          </cell>
          <cell r="F17">
            <v>4764</v>
          </cell>
          <cell r="G17">
            <v>4515</v>
          </cell>
          <cell r="H17" t="str">
            <v>labo</v>
          </cell>
          <cell r="I17">
            <v>3763.08</v>
          </cell>
          <cell r="J17">
            <v>3573</v>
          </cell>
          <cell r="K17" t="str">
            <v>ind_pr</v>
          </cell>
          <cell r="L17">
            <v>4211.45</v>
          </cell>
          <cell r="M17">
            <v>0</v>
          </cell>
          <cell r="N17" t="str">
            <v>hosp_pr</v>
          </cell>
          <cell r="O17">
            <v>4567</v>
          </cell>
          <cell r="P17">
            <v>0</v>
          </cell>
        </row>
        <row r="18">
          <cell r="A18" t="str">
            <v>Antonio Olinto</v>
          </cell>
          <cell r="B18" t="str">
            <v>var_pr</v>
          </cell>
          <cell r="C18">
            <v>4729.62</v>
          </cell>
          <cell r="D18">
            <v>4729.62</v>
          </cell>
          <cell r="E18" t="str">
            <v>dist</v>
          </cell>
          <cell r="F18">
            <v>4764</v>
          </cell>
          <cell r="G18">
            <v>4515</v>
          </cell>
          <cell r="H18" t="str">
            <v>labo</v>
          </cell>
          <cell r="I18">
            <v>3763.08</v>
          </cell>
          <cell r="J18">
            <v>3573</v>
          </cell>
          <cell r="K18" t="str">
            <v>ind_pr</v>
          </cell>
          <cell r="L18">
            <v>4211.45</v>
          </cell>
          <cell r="M18">
            <v>0</v>
          </cell>
          <cell r="N18">
            <v>0</v>
          </cell>
          <cell r="O18" t="e">
            <v>#N/A</v>
          </cell>
          <cell r="P18" t="e">
            <v>#N/A</v>
          </cell>
        </row>
        <row r="19">
          <cell r="A19" t="str">
            <v>Apucarana</v>
          </cell>
          <cell r="B19" t="str">
            <v>var_ld</v>
          </cell>
          <cell r="C19">
            <v>4750</v>
          </cell>
          <cell r="D19">
            <v>4527</v>
          </cell>
          <cell r="E19" t="str">
            <v>dist</v>
          </cell>
          <cell r="F19">
            <v>4764</v>
          </cell>
          <cell r="G19">
            <v>4515</v>
          </cell>
          <cell r="H19" t="str">
            <v>labo</v>
          </cell>
          <cell r="I19">
            <v>3763.08</v>
          </cell>
          <cell r="J19">
            <v>3573</v>
          </cell>
          <cell r="K19" t="str">
            <v>ind_pr</v>
          </cell>
          <cell r="L19">
            <v>4211.45</v>
          </cell>
          <cell r="M19">
            <v>0</v>
          </cell>
          <cell r="N19">
            <v>0</v>
          </cell>
          <cell r="O19" t="e">
            <v>#N/A</v>
          </cell>
          <cell r="P19" t="e">
            <v>#N/A</v>
          </cell>
        </row>
        <row r="20">
          <cell r="A20" t="str">
            <v>Arapongas</v>
          </cell>
          <cell r="B20" t="str">
            <v>var_ld</v>
          </cell>
          <cell r="C20">
            <v>4750</v>
          </cell>
          <cell r="D20">
            <v>4527</v>
          </cell>
          <cell r="E20" t="str">
            <v>dist</v>
          </cell>
          <cell r="F20">
            <v>4764</v>
          </cell>
          <cell r="G20">
            <v>4515</v>
          </cell>
          <cell r="H20" t="str">
            <v>labo</v>
          </cell>
          <cell r="I20">
            <v>3763.08</v>
          </cell>
          <cell r="J20">
            <v>3573</v>
          </cell>
          <cell r="K20" t="str">
            <v>ind_pr</v>
          </cell>
          <cell r="L20">
            <v>4211.45</v>
          </cell>
          <cell r="M20">
            <v>0</v>
          </cell>
          <cell r="N20">
            <v>0</v>
          </cell>
          <cell r="O20" t="e">
            <v>#N/A</v>
          </cell>
          <cell r="P20" t="e">
            <v>#N/A</v>
          </cell>
        </row>
        <row r="21">
          <cell r="A21" t="str">
            <v>Arapoti</v>
          </cell>
          <cell r="B21" t="str">
            <v>var_pr</v>
          </cell>
          <cell r="C21">
            <v>4729.62</v>
          </cell>
          <cell r="D21">
            <v>4729.62</v>
          </cell>
          <cell r="E21" t="str">
            <v>dist</v>
          </cell>
          <cell r="F21">
            <v>4764</v>
          </cell>
          <cell r="G21">
            <v>4515</v>
          </cell>
          <cell r="H21" t="str">
            <v>labo</v>
          </cell>
          <cell r="I21">
            <v>3763.08</v>
          </cell>
          <cell r="J21">
            <v>3573</v>
          </cell>
          <cell r="K21" t="str">
            <v>ind_pr</v>
          </cell>
          <cell r="L21">
            <v>4211.45</v>
          </cell>
          <cell r="M21">
            <v>0</v>
          </cell>
          <cell r="N21">
            <v>0</v>
          </cell>
          <cell r="O21" t="e">
            <v>#N/A</v>
          </cell>
          <cell r="P21" t="e">
            <v>#N/A</v>
          </cell>
        </row>
        <row r="22">
          <cell r="A22" t="str">
            <v>Arapua</v>
          </cell>
          <cell r="B22" t="str">
            <v>var_pr</v>
          </cell>
          <cell r="C22">
            <v>4729.62</v>
          </cell>
          <cell r="D22">
            <v>4729.62</v>
          </cell>
          <cell r="E22" t="str">
            <v>dist</v>
          </cell>
          <cell r="F22">
            <v>4764</v>
          </cell>
          <cell r="G22">
            <v>4515</v>
          </cell>
          <cell r="H22" t="str">
            <v>labo</v>
          </cell>
          <cell r="I22">
            <v>3763.08</v>
          </cell>
          <cell r="J22">
            <v>3573</v>
          </cell>
          <cell r="K22" t="str">
            <v>ind_pr</v>
          </cell>
          <cell r="L22">
            <v>4211.45</v>
          </cell>
          <cell r="M22">
            <v>0</v>
          </cell>
          <cell r="N22">
            <v>0</v>
          </cell>
          <cell r="O22" t="e">
            <v>#N/A</v>
          </cell>
          <cell r="P22" t="e">
            <v>#N/A</v>
          </cell>
        </row>
        <row r="23">
          <cell r="A23" t="str">
            <v>Araruna</v>
          </cell>
          <cell r="B23" t="str">
            <v>var_pr</v>
          </cell>
          <cell r="C23">
            <v>4729.62</v>
          </cell>
          <cell r="D23">
            <v>4729.62</v>
          </cell>
          <cell r="E23" t="str">
            <v>dist</v>
          </cell>
          <cell r="F23">
            <v>4764</v>
          </cell>
          <cell r="G23">
            <v>4515</v>
          </cell>
          <cell r="H23" t="str">
            <v>labo</v>
          </cell>
          <cell r="I23">
            <v>3763.08</v>
          </cell>
          <cell r="J23">
            <v>3573</v>
          </cell>
          <cell r="K23" t="str">
            <v>ind_pr</v>
          </cell>
          <cell r="L23">
            <v>4211.45</v>
          </cell>
          <cell r="M23">
            <v>0</v>
          </cell>
          <cell r="N23" t="str">
            <v>hosp_cm</v>
          </cell>
          <cell r="O23">
            <v>4133.2</v>
          </cell>
          <cell r="P23">
            <v>0</v>
          </cell>
        </row>
        <row r="24">
          <cell r="A24" t="str">
            <v>Araucaria</v>
          </cell>
          <cell r="B24" t="str">
            <v>var_pr</v>
          </cell>
          <cell r="C24">
            <v>4729.62</v>
          </cell>
          <cell r="D24">
            <v>4729.62</v>
          </cell>
          <cell r="E24" t="str">
            <v>dist</v>
          </cell>
          <cell r="F24">
            <v>4764</v>
          </cell>
          <cell r="G24">
            <v>4515</v>
          </cell>
          <cell r="H24" t="str">
            <v>labo</v>
          </cell>
          <cell r="I24">
            <v>3763.08</v>
          </cell>
          <cell r="J24">
            <v>3573</v>
          </cell>
          <cell r="K24" t="str">
            <v>ind_pr</v>
          </cell>
          <cell r="L24">
            <v>4211.45</v>
          </cell>
          <cell r="M24">
            <v>0</v>
          </cell>
          <cell r="N24" t="str">
            <v>hosp_pr</v>
          </cell>
          <cell r="O24">
            <v>4567</v>
          </cell>
          <cell r="P24">
            <v>0</v>
          </cell>
        </row>
        <row r="25">
          <cell r="A25" t="str">
            <v>Ariranha do Ivai</v>
          </cell>
          <cell r="B25" t="str">
            <v>var_pr</v>
          </cell>
          <cell r="C25">
            <v>4729.62</v>
          </cell>
          <cell r="D25">
            <v>4729.62</v>
          </cell>
          <cell r="E25" t="str">
            <v>dist</v>
          </cell>
          <cell r="F25">
            <v>4764</v>
          </cell>
          <cell r="G25">
            <v>4515</v>
          </cell>
          <cell r="H25" t="str">
            <v>labo</v>
          </cell>
          <cell r="I25">
            <v>3763.08</v>
          </cell>
          <cell r="J25">
            <v>3573</v>
          </cell>
          <cell r="K25" t="str">
            <v>ind_pr</v>
          </cell>
          <cell r="L25">
            <v>4211.45</v>
          </cell>
          <cell r="M25">
            <v>0</v>
          </cell>
          <cell r="N25">
            <v>0</v>
          </cell>
          <cell r="O25" t="e">
            <v>#N/A</v>
          </cell>
          <cell r="P25" t="e">
            <v>#N/A</v>
          </cell>
        </row>
        <row r="26">
          <cell r="A26" t="str">
            <v>Assai</v>
          </cell>
          <cell r="B26" t="str">
            <v>var_ld</v>
          </cell>
          <cell r="C26">
            <v>4750</v>
          </cell>
          <cell r="D26">
            <v>4527</v>
          </cell>
          <cell r="E26" t="str">
            <v>dist</v>
          </cell>
          <cell r="F26">
            <v>4764</v>
          </cell>
          <cell r="G26">
            <v>4515</v>
          </cell>
          <cell r="H26" t="str">
            <v>labo</v>
          </cell>
          <cell r="I26">
            <v>3763.08</v>
          </cell>
          <cell r="J26">
            <v>3573</v>
          </cell>
          <cell r="K26" t="str">
            <v>ind_pr</v>
          </cell>
          <cell r="L26">
            <v>4211.45</v>
          </cell>
          <cell r="M26">
            <v>0</v>
          </cell>
          <cell r="N26">
            <v>0</v>
          </cell>
          <cell r="O26" t="e">
            <v>#N/A</v>
          </cell>
          <cell r="P26" t="e">
            <v>#N/A</v>
          </cell>
        </row>
        <row r="27">
          <cell r="A27" t="str">
            <v>Assis Chateaubriand</v>
          </cell>
          <cell r="B27" t="str">
            <v>var_op</v>
          </cell>
          <cell r="C27">
            <v>4410</v>
          </cell>
          <cell r="D27">
            <v>4219</v>
          </cell>
          <cell r="E27" t="str">
            <v>dist</v>
          </cell>
          <cell r="F27">
            <v>4764</v>
          </cell>
          <cell r="G27">
            <v>4515</v>
          </cell>
          <cell r="H27" t="str">
            <v>labo</v>
          </cell>
          <cell r="I27">
            <v>3763.08</v>
          </cell>
          <cell r="J27">
            <v>3573</v>
          </cell>
          <cell r="K27" t="str">
            <v>ind_pr</v>
          </cell>
          <cell r="L27">
            <v>4211.45</v>
          </cell>
          <cell r="M27">
            <v>0</v>
          </cell>
          <cell r="N27" t="str">
            <v>hosp_pr</v>
          </cell>
          <cell r="O27">
            <v>4567</v>
          </cell>
          <cell r="P27">
            <v>0</v>
          </cell>
        </row>
        <row r="28">
          <cell r="A28" t="str">
            <v>Astorga</v>
          </cell>
          <cell r="B28" t="str">
            <v>var_ld</v>
          </cell>
          <cell r="C28">
            <v>4750</v>
          </cell>
          <cell r="D28">
            <v>4527</v>
          </cell>
          <cell r="E28" t="str">
            <v>dist</v>
          </cell>
          <cell r="F28">
            <v>4764</v>
          </cell>
          <cell r="G28">
            <v>4515</v>
          </cell>
          <cell r="H28" t="str">
            <v>labo</v>
          </cell>
          <cell r="I28">
            <v>3763.08</v>
          </cell>
          <cell r="J28">
            <v>3573</v>
          </cell>
          <cell r="K28" t="str">
            <v>ind_pr</v>
          </cell>
          <cell r="L28">
            <v>4211.45</v>
          </cell>
          <cell r="M28">
            <v>0</v>
          </cell>
          <cell r="N28" t="str">
            <v>hosp_mg</v>
          </cell>
          <cell r="O28">
            <v>3888.38</v>
          </cell>
          <cell r="P28">
            <v>0</v>
          </cell>
        </row>
        <row r="29">
          <cell r="A29" t="str">
            <v>Atalaia</v>
          </cell>
          <cell r="B29" t="str">
            <v>var_par</v>
          </cell>
          <cell r="C29">
            <v>4846</v>
          </cell>
          <cell r="D29">
            <v>4846</v>
          </cell>
          <cell r="E29" t="str">
            <v>dist</v>
          </cell>
          <cell r="F29">
            <v>4764</v>
          </cell>
          <cell r="G29">
            <v>4515</v>
          </cell>
          <cell r="H29" t="str">
            <v>labo</v>
          </cell>
          <cell r="I29">
            <v>3763.08</v>
          </cell>
          <cell r="J29">
            <v>3573</v>
          </cell>
          <cell r="K29" t="str">
            <v>ind_pr</v>
          </cell>
          <cell r="L29">
            <v>4211.45</v>
          </cell>
          <cell r="M29">
            <v>0</v>
          </cell>
          <cell r="N29" t="str">
            <v>hosp_mg</v>
          </cell>
          <cell r="O29">
            <v>3888.38</v>
          </cell>
          <cell r="P29">
            <v>0</v>
          </cell>
        </row>
        <row r="30">
          <cell r="A30" t="str">
            <v>Balsa Nova</v>
          </cell>
          <cell r="B30" t="str">
            <v>var_pr</v>
          </cell>
          <cell r="C30">
            <v>4729.62</v>
          </cell>
          <cell r="D30">
            <v>4729.62</v>
          </cell>
          <cell r="E30" t="str">
            <v>dist</v>
          </cell>
          <cell r="F30">
            <v>4764</v>
          </cell>
          <cell r="G30">
            <v>4515</v>
          </cell>
          <cell r="H30" t="str">
            <v>labo</v>
          </cell>
          <cell r="I30">
            <v>3763.08</v>
          </cell>
          <cell r="J30">
            <v>3573</v>
          </cell>
          <cell r="K30" t="str">
            <v>ind_pr</v>
          </cell>
          <cell r="L30">
            <v>4211.45</v>
          </cell>
          <cell r="M30">
            <v>0</v>
          </cell>
          <cell r="N30" t="str">
            <v>hosp_pr</v>
          </cell>
          <cell r="O30">
            <v>4567</v>
          </cell>
          <cell r="P30">
            <v>0</v>
          </cell>
        </row>
        <row r="31">
          <cell r="A31" t="str">
            <v>Bandeirantes</v>
          </cell>
          <cell r="B31" t="str">
            <v>var_ld</v>
          </cell>
          <cell r="C31">
            <v>4750</v>
          </cell>
          <cell r="D31">
            <v>4527</v>
          </cell>
          <cell r="E31" t="str">
            <v>dist</v>
          </cell>
          <cell r="F31">
            <v>4764</v>
          </cell>
          <cell r="G31">
            <v>4515</v>
          </cell>
          <cell r="H31" t="str">
            <v>labo</v>
          </cell>
          <cell r="I31">
            <v>3763.08</v>
          </cell>
          <cell r="J31">
            <v>3573</v>
          </cell>
          <cell r="K31" t="str">
            <v>ind_pr</v>
          </cell>
          <cell r="L31">
            <v>4211.45</v>
          </cell>
          <cell r="M31">
            <v>0</v>
          </cell>
          <cell r="N31">
            <v>0</v>
          </cell>
          <cell r="O31" t="e">
            <v>#N/A</v>
          </cell>
          <cell r="P31" t="e">
            <v>#N/A</v>
          </cell>
        </row>
        <row r="32">
          <cell r="A32" t="str">
            <v>Barbosa Ferraz</v>
          </cell>
          <cell r="B32" t="str">
            <v>var_pr</v>
          </cell>
          <cell r="C32">
            <v>4729.62</v>
          </cell>
          <cell r="D32">
            <v>4729.62</v>
          </cell>
          <cell r="E32" t="str">
            <v>dist</v>
          </cell>
          <cell r="F32">
            <v>4764</v>
          </cell>
          <cell r="G32">
            <v>4515</v>
          </cell>
          <cell r="H32" t="str">
            <v>labo</v>
          </cell>
          <cell r="I32">
            <v>3763.08</v>
          </cell>
          <cell r="J32">
            <v>3573</v>
          </cell>
          <cell r="K32" t="str">
            <v>ind_pr</v>
          </cell>
          <cell r="L32">
            <v>4211.45</v>
          </cell>
          <cell r="M32">
            <v>0</v>
          </cell>
          <cell r="N32" t="str">
            <v>hosp_cm</v>
          </cell>
          <cell r="O32">
            <v>4133.2</v>
          </cell>
          <cell r="P32">
            <v>0</v>
          </cell>
        </row>
        <row r="33">
          <cell r="A33" t="str">
            <v>Barra do Jacare</v>
          </cell>
          <cell r="B33" t="str">
            <v>var_pr</v>
          </cell>
          <cell r="C33">
            <v>4729.62</v>
          </cell>
          <cell r="D33">
            <v>4729.62</v>
          </cell>
          <cell r="E33" t="str">
            <v>dist</v>
          </cell>
          <cell r="F33">
            <v>4764</v>
          </cell>
          <cell r="G33">
            <v>4515</v>
          </cell>
          <cell r="H33" t="str">
            <v>labo</v>
          </cell>
          <cell r="I33">
            <v>3763.08</v>
          </cell>
          <cell r="J33">
            <v>3573</v>
          </cell>
          <cell r="K33" t="str">
            <v>ind_pr</v>
          </cell>
          <cell r="L33">
            <v>4211.45</v>
          </cell>
          <cell r="M33">
            <v>0</v>
          </cell>
          <cell r="N33" t="str">
            <v>hosp_nor</v>
          </cell>
          <cell r="O33">
            <v>1760</v>
          </cell>
          <cell r="P33">
            <v>0</v>
          </cell>
        </row>
        <row r="34">
          <cell r="A34" t="str">
            <v>Barracao</v>
          </cell>
          <cell r="B34" t="str">
            <v>var_pr</v>
          </cell>
          <cell r="C34">
            <v>4729.62</v>
          </cell>
          <cell r="D34">
            <v>4729.62</v>
          </cell>
          <cell r="E34" t="str">
            <v>dist</v>
          </cell>
          <cell r="F34">
            <v>4764</v>
          </cell>
          <cell r="G34">
            <v>4515</v>
          </cell>
          <cell r="H34" t="str">
            <v>labo</v>
          </cell>
          <cell r="I34">
            <v>3763.08</v>
          </cell>
          <cell r="J34">
            <v>3573</v>
          </cell>
          <cell r="K34" t="str">
            <v>ind_pr</v>
          </cell>
          <cell r="L34">
            <v>4211.45</v>
          </cell>
          <cell r="M34">
            <v>0</v>
          </cell>
          <cell r="N34" t="str">
            <v>hosp_sudpr</v>
          </cell>
          <cell r="O34">
            <v>1760</v>
          </cell>
          <cell r="P34">
            <v>0</v>
          </cell>
        </row>
        <row r="35">
          <cell r="A35" t="str">
            <v>Bela Vista da Caroba</v>
          </cell>
          <cell r="B35" t="str">
            <v>var_pr</v>
          </cell>
          <cell r="C35">
            <v>4729.62</v>
          </cell>
          <cell r="D35">
            <v>4729.62</v>
          </cell>
          <cell r="E35" t="str">
            <v>dist</v>
          </cell>
          <cell r="F35">
            <v>4764</v>
          </cell>
          <cell r="G35">
            <v>4515</v>
          </cell>
          <cell r="H35" t="str">
            <v>labo</v>
          </cell>
          <cell r="I35">
            <v>3763.08</v>
          </cell>
          <cell r="J35">
            <v>3573</v>
          </cell>
          <cell r="K35" t="str">
            <v>ind_pr</v>
          </cell>
          <cell r="L35">
            <v>4211.45</v>
          </cell>
          <cell r="M35">
            <v>0</v>
          </cell>
          <cell r="N35" t="str">
            <v>hosp_sudpr</v>
          </cell>
          <cell r="O35">
            <v>1760</v>
          </cell>
          <cell r="P35">
            <v>0</v>
          </cell>
        </row>
        <row r="36">
          <cell r="A36" t="str">
            <v>Bela Vista do Paraiso</v>
          </cell>
          <cell r="B36" t="str">
            <v>var_ld</v>
          </cell>
          <cell r="C36">
            <v>4750</v>
          </cell>
          <cell r="D36">
            <v>4527</v>
          </cell>
          <cell r="E36" t="str">
            <v>dist</v>
          </cell>
          <cell r="F36">
            <v>4764</v>
          </cell>
          <cell r="G36">
            <v>4515</v>
          </cell>
          <cell r="H36" t="str">
            <v>labo</v>
          </cell>
          <cell r="I36">
            <v>3763.08</v>
          </cell>
          <cell r="J36">
            <v>3573</v>
          </cell>
          <cell r="K36" t="str">
            <v>ind_pr</v>
          </cell>
          <cell r="L36">
            <v>4211.45</v>
          </cell>
          <cell r="M36">
            <v>0</v>
          </cell>
          <cell r="N36">
            <v>0</v>
          </cell>
          <cell r="O36" t="e">
            <v>#N/A</v>
          </cell>
          <cell r="P36" t="e">
            <v>#N/A</v>
          </cell>
        </row>
        <row r="37">
          <cell r="A37" t="str">
            <v>Bituruna</v>
          </cell>
          <cell r="B37" t="str">
            <v>var_pr</v>
          </cell>
          <cell r="C37">
            <v>4729.62</v>
          </cell>
          <cell r="D37">
            <v>4729.62</v>
          </cell>
          <cell r="E37" t="str">
            <v>dist</v>
          </cell>
          <cell r="F37">
            <v>4764</v>
          </cell>
          <cell r="G37">
            <v>4515</v>
          </cell>
          <cell r="H37" t="str">
            <v>labo</v>
          </cell>
          <cell r="I37">
            <v>3763.08</v>
          </cell>
          <cell r="J37">
            <v>3573</v>
          </cell>
          <cell r="K37" t="str">
            <v>ind_pr</v>
          </cell>
          <cell r="L37">
            <v>4211.45</v>
          </cell>
          <cell r="M37">
            <v>0</v>
          </cell>
          <cell r="N37">
            <v>0</v>
          </cell>
          <cell r="O37" t="e">
            <v>#N/A</v>
          </cell>
          <cell r="P37" t="e">
            <v>#N/A</v>
          </cell>
        </row>
        <row r="38">
          <cell r="A38" t="str">
            <v>Boa Esperança</v>
          </cell>
          <cell r="B38" t="str">
            <v>var_pr</v>
          </cell>
          <cell r="C38">
            <v>4729.62</v>
          </cell>
          <cell r="D38">
            <v>4729.62</v>
          </cell>
          <cell r="E38" t="str">
            <v>dist</v>
          </cell>
          <cell r="F38">
            <v>4764</v>
          </cell>
          <cell r="G38">
            <v>4515</v>
          </cell>
          <cell r="H38" t="str">
            <v>labo</v>
          </cell>
          <cell r="I38">
            <v>3763.08</v>
          </cell>
          <cell r="J38">
            <v>3573</v>
          </cell>
          <cell r="K38" t="str">
            <v>ind_pr</v>
          </cell>
          <cell r="L38">
            <v>4211.45</v>
          </cell>
          <cell r="M38">
            <v>0</v>
          </cell>
          <cell r="N38" t="str">
            <v>hosp_cm</v>
          </cell>
          <cell r="O38">
            <v>4133.2</v>
          </cell>
          <cell r="P38">
            <v>0</v>
          </cell>
        </row>
        <row r="39">
          <cell r="A39" t="str">
            <v>Boa Esperança do Iguaçu</v>
          </cell>
          <cell r="B39" t="str">
            <v>var_pr</v>
          </cell>
          <cell r="C39">
            <v>4729.62</v>
          </cell>
          <cell r="D39">
            <v>4729.62</v>
          </cell>
          <cell r="E39" t="str">
            <v>dist</v>
          </cell>
          <cell r="F39">
            <v>4764</v>
          </cell>
          <cell r="G39">
            <v>4515</v>
          </cell>
          <cell r="H39" t="str">
            <v>labo</v>
          </cell>
          <cell r="I39">
            <v>3763.08</v>
          </cell>
          <cell r="J39">
            <v>3573</v>
          </cell>
          <cell r="K39" t="str">
            <v>ind_pr</v>
          </cell>
          <cell r="L39">
            <v>4211.45</v>
          </cell>
          <cell r="M39">
            <v>0</v>
          </cell>
          <cell r="N39" t="str">
            <v>hosp_sudpr</v>
          </cell>
          <cell r="O39">
            <v>1760</v>
          </cell>
          <cell r="P39">
            <v>0</v>
          </cell>
        </row>
        <row r="40">
          <cell r="A40" t="str">
            <v>Boa Ventura de Sao Roque</v>
          </cell>
          <cell r="B40" t="str">
            <v>var_pr</v>
          </cell>
          <cell r="C40">
            <v>4729.62</v>
          </cell>
          <cell r="D40">
            <v>4729.62</v>
          </cell>
          <cell r="E40" t="str">
            <v>dist</v>
          </cell>
          <cell r="F40">
            <v>4764</v>
          </cell>
          <cell r="G40">
            <v>4515</v>
          </cell>
          <cell r="H40" t="str">
            <v>labo</v>
          </cell>
          <cell r="I40">
            <v>3763.08</v>
          </cell>
          <cell r="J40">
            <v>3573</v>
          </cell>
          <cell r="K40" t="str">
            <v>ind_pr</v>
          </cell>
          <cell r="L40">
            <v>4211.45</v>
          </cell>
          <cell r="M40">
            <v>0</v>
          </cell>
          <cell r="N40">
            <v>0</v>
          </cell>
          <cell r="O40" t="e">
            <v>#N/A</v>
          </cell>
          <cell r="P40" t="e">
            <v>#N/A</v>
          </cell>
        </row>
        <row r="41">
          <cell r="A41" t="str">
            <v>Boa Vista da Aparecida</v>
          </cell>
          <cell r="B41" t="str">
            <v>var_op</v>
          </cell>
          <cell r="C41">
            <v>4410</v>
          </cell>
          <cell r="D41">
            <v>4219</v>
          </cell>
          <cell r="E41" t="str">
            <v>dist</v>
          </cell>
          <cell r="F41">
            <v>4764</v>
          </cell>
          <cell r="G41">
            <v>4515</v>
          </cell>
          <cell r="H41" t="str">
            <v>labo</v>
          </cell>
          <cell r="I41">
            <v>3763.08</v>
          </cell>
          <cell r="J41">
            <v>3573</v>
          </cell>
          <cell r="K41" t="str">
            <v>ind_pr</v>
          </cell>
          <cell r="L41">
            <v>4211.45</v>
          </cell>
          <cell r="M41">
            <v>0</v>
          </cell>
          <cell r="N41">
            <v>0</v>
          </cell>
          <cell r="O41" t="e">
            <v>#N/A</v>
          </cell>
          <cell r="P41" t="e">
            <v>#N/A</v>
          </cell>
        </row>
        <row r="42">
          <cell r="A42" t="str">
            <v>Bocaiuva do Sul</v>
          </cell>
          <cell r="B42" t="str">
            <v>var_pr</v>
          </cell>
          <cell r="C42">
            <v>4729.62</v>
          </cell>
          <cell r="D42">
            <v>4729.62</v>
          </cell>
          <cell r="E42" t="str">
            <v>dist</v>
          </cell>
          <cell r="F42">
            <v>4764</v>
          </cell>
          <cell r="G42">
            <v>4515</v>
          </cell>
          <cell r="H42" t="str">
            <v>labo</v>
          </cell>
          <cell r="I42">
            <v>3763.08</v>
          </cell>
          <cell r="J42">
            <v>3573</v>
          </cell>
          <cell r="K42" t="str">
            <v>ind_pr</v>
          </cell>
          <cell r="L42">
            <v>4211.45</v>
          </cell>
          <cell r="M42">
            <v>0</v>
          </cell>
          <cell r="N42" t="str">
            <v>hosp_pr</v>
          </cell>
          <cell r="O42">
            <v>4567</v>
          </cell>
          <cell r="P42">
            <v>0</v>
          </cell>
        </row>
        <row r="43">
          <cell r="A43" t="str">
            <v>Bom Jesus do Sul</v>
          </cell>
          <cell r="B43" t="str">
            <v>var_pr</v>
          </cell>
          <cell r="C43">
            <v>4729.62</v>
          </cell>
          <cell r="D43">
            <v>4729.62</v>
          </cell>
          <cell r="E43" t="str">
            <v>dist</v>
          </cell>
          <cell r="F43">
            <v>4764</v>
          </cell>
          <cell r="G43">
            <v>4515</v>
          </cell>
          <cell r="H43" t="str">
            <v>labo</v>
          </cell>
          <cell r="I43">
            <v>3763.08</v>
          </cell>
          <cell r="J43">
            <v>3573</v>
          </cell>
          <cell r="K43" t="str">
            <v>ind_pr</v>
          </cell>
          <cell r="L43">
            <v>4211.45</v>
          </cell>
          <cell r="M43">
            <v>0</v>
          </cell>
          <cell r="N43" t="str">
            <v>hosp_sudpr</v>
          </cell>
          <cell r="O43">
            <v>1760</v>
          </cell>
          <cell r="P43">
            <v>0</v>
          </cell>
        </row>
        <row r="44">
          <cell r="A44" t="str">
            <v>Bom Sucesso</v>
          </cell>
          <cell r="B44" t="str">
            <v>var_ld</v>
          </cell>
          <cell r="C44">
            <v>4750</v>
          </cell>
          <cell r="D44">
            <v>4527</v>
          </cell>
          <cell r="E44" t="str">
            <v>dist</v>
          </cell>
          <cell r="F44">
            <v>4764</v>
          </cell>
          <cell r="G44">
            <v>4515</v>
          </cell>
          <cell r="H44" t="str">
            <v>labo</v>
          </cell>
          <cell r="I44">
            <v>3763.08</v>
          </cell>
          <cell r="J44">
            <v>3573</v>
          </cell>
          <cell r="K44" t="str">
            <v>ind_pr</v>
          </cell>
          <cell r="L44">
            <v>4211.45</v>
          </cell>
          <cell r="M44">
            <v>0</v>
          </cell>
          <cell r="N44">
            <v>0</v>
          </cell>
          <cell r="O44" t="e">
            <v>#N/A</v>
          </cell>
          <cell r="P44" t="e">
            <v>#N/A</v>
          </cell>
        </row>
        <row r="45">
          <cell r="A45" t="str">
            <v>Bom Sucesso do Sul</v>
          </cell>
          <cell r="B45" t="str">
            <v>var_pr</v>
          </cell>
          <cell r="C45">
            <v>4729.62</v>
          </cell>
          <cell r="D45">
            <v>4729.62</v>
          </cell>
          <cell r="E45" t="str">
            <v>dist</v>
          </cell>
          <cell r="F45">
            <v>4764</v>
          </cell>
          <cell r="G45">
            <v>4515</v>
          </cell>
          <cell r="H45" t="str">
            <v>labo</v>
          </cell>
          <cell r="I45">
            <v>3763.08</v>
          </cell>
          <cell r="J45">
            <v>3573</v>
          </cell>
          <cell r="K45" t="str">
            <v>ind_pr</v>
          </cell>
          <cell r="L45">
            <v>4211.45</v>
          </cell>
          <cell r="M45">
            <v>0</v>
          </cell>
          <cell r="N45" t="str">
            <v>hosp_pb</v>
          </cell>
          <cell r="O45">
            <v>1760</v>
          </cell>
          <cell r="P45">
            <v>0</v>
          </cell>
        </row>
        <row r="46">
          <cell r="A46" t="str">
            <v>Borrazopolis</v>
          </cell>
          <cell r="B46" t="str">
            <v>var_ld</v>
          </cell>
          <cell r="C46">
            <v>4750</v>
          </cell>
          <cell r="D46">
            <v>4527</v>
          </cell>
          <cell r="E46" t="str">
            <v>dist</v>
          </cell>
          <cell r="F46">
            <v>4764</v>
          </cell>
          <cell r="G46">
            <v>4515</v>
          </cell>
          <cell r="H46" t="str">
            <v>labo</v>
          </cell>
          <cell r="I46">
            <v>3763.08</v>
          </cell>
          <cell r="J46">
            <v>3573</v>
          </cell>
          <cell r="K46" t="str">
            <v>ind_pr</v>
          </cell>
          <cell r="L46">
            <v>4211.45</v>
          </cell>
          <cell r="M46">
            <v>0</v>
          </cell>
          <cell r="N46">
            <v>0</v>
          </cell>
          <cell r="O46" t="e">
            <v>#N/A</v>
          </cell>
          <cell r="P46" t="e">
            <v>#N/A</v>
          </cell>
        </row>
        <row r="47">
          <cell r="A47" t="str">
            <v>Braganey</v>
          </cell>
          <cell r="B47" t="str">
            <v>var_op</v>
          </cell>
          <cell r="C47">
            <v>4410</v>
          </cell>
          <cell r="D47">
            <v>4219</v>
          </cell>
          <cell r="E47" t="str">
            <v>dist</v>
          </cell>
          <cell r="F47">
            <v>4764</v>
          </cell>
          <cell r="G47">
            <v>4515</v>
          </cell>
          <cell r="H47" t="str">
            <v>labo</v>
          </cell>
          <cell r="I47">
            <v>3763.08</v>
          </cell>
          <cell r="J47">
            <v>3573</v>
          </cell>
          <cell r="K47" t="str">
            <v>ind_pr</v>
          </cell>
          <cell r="L47">
            <v>4211.45</v>
          </cell>
          <cell r="M47">
            <v>0</v>
          </cell>
          <cell r="N47">
            <v>0</v>
          </cell>
          <cell r="O47" t="e">
            <v>#N/A</v>
          </cell>
          <cell r="P47" t="e">
            <v>#N/A</v>
          </cell>
        </row>
        <row r="48">
          <cell r="A48" t="str">
            <v>Brasilandia do Sul</v>
          </cell>
          <cell r="B48" t="str">
            <v>var_pr</v>
          </cell>
          <cell r="C48">
            <v>4729.62</v>
          </cell>
          <cell r="D48">
            <v>4729.62</v>
          </cell>
          <cell r="E48" t="str">
            <v>dist</v>
          </cell>
          <cell r="F48">
            <v>4764</v>
          </cell>
          <cell r="G48">
            <v>4515</v>
          </cell>
          <cell r="H48" t="str">
            <v>labo</v>
          </cell>
          <cell r="I48">
            <v>3763.08</v>
          </cell>
          <cell r="J48">
            <v>3573</v>
          </cell>
          <cell r="K48" t="str">
            <v>ind_pr</v>
          </cell>
          <cell r="L48">
            <v>4211.45</v>
          </cell>
          <cell r="M48">
            <v>0</v>
          </cell>
          <cell r="N48">
            <v>0</v>
          </cell>
          <cell r="O48" t="e">
            <v>#N/A</v>
          </cell>
          <cell r="P48" t="e">
            <v>#N/A</v>
          </cell>
        </row>
        <row r="49">
          <cell r="A49" t="str">
            <v>Cafeara</v>
          </cell>
          <cell r="B49" t="str">
            <v>var_pr</v>
          </cell>
          <cell r="C49">
            <v>4729.62</v>
          </cell>
          <cell r="D49">
            <v>4729.62</v>
          </cell>
          <cell r="E49" t="str">
            <v>dist</v>
          </cell>
          <cell r="F49">
            <v>4764</v>
          </cell>
          <cell r="G49">
            <v>4515</v>
          </cell>
          <cell r="H49" t="str">
            <v>labo</v>
          </cell>
          <cell r="I49">
            <v>3763.08</v>
          </cell>
          <cell r="J49">
            <v>3573</v>
          </cell>
          <cell r="K49" t="str">
            <v>ind_pr</v>
          </cell>
          <cell r="L49">
            <v>4211.45</v>
          </cell>
          <cell r="M49">
            <v>0</v>
          </cell>
          <cell r="N49">
            <v>0</v>
          </cell>
          <cell r="O49" t="e">
            <v>#N/A</v>
          </cell>
          <cell r="P49" t="e">
            <v>#N/A</v>
          </cell>
        </row>
        <row r="50">
          <cell r="A50" t="str">
            <v>Cafelandia</v>
          </cell>
          <cell r="B50" t="str">
            <v>var_op</v>
          </cell>
          <cell r="C50">
            <v>4410</v>
          </cell>
          <cell r="D50">
            <v>4219</v>
          </cell>
          <cell r="E50" t="str">
            <v>dist</v>
          </cell>
          <cell r="F50">
            <v>4764</v>
          </cell>
          <cell r="G50">
            <v>4515</v>
          </cell>
          <cell r="H50" t="str">
            <v>labo</v>
          </cell>
          <cell r="I50">
            <v>3763.08</v>
          </cell>
          <cell r="J50">
            <v>3573</v>
          </cell>
          <cell r="K50" t="str">
            <v>ind_pr</v>
          </cell>
          <cell r="L50">
            <v>4211.45</v>
          </cell>
          <cell r="M50">
            <v>0</v>
          </cell>
          <cell r="N50">
            <v>0</v>
          </cell>
          <cell r="O50" t="e">
            <v>#N/A</v>
          </cell>
          <cell r="P50" t="e">
            <v>#N/A</v>
          </cell>
        </row>
        <row r="51">
          <cell r="A51" t="str">
            <v>Cafezal do Sul</v>
          </cell>
          <cell r="B51" t="str">
            <v>var_pr</v>
          </cell>
          <cell r="C51">
            <v>4729.62</v>
          </cell>
          <cell r="D51">
            <v>4729.62</v>
          </cell>
          <cell r="E51" t="str">
            <v>dist</v>
          </cell>
          <cell r="F51">
            <v>4764</v>
          </cell>
          <cell r="G51">
            <v>4515</v>
          </cell>
          <cell r="H51" t="str">
            <v>labo</v>
          </cell>
          <cell r="I51">
            <v>3763.08</v>
          </cell>
          <cell r="J51">
            <v>3573</v>
          </cell>
          <cell r="K51" t="str">
            <v>ind_pr</v>
          </cell>
          <cell r="L51">
            <v>4211.45</v>
          </cell>
          <cell r="M51">
            <v>0</v>
          </cell>
          <cell r="N51">
            <v>0</v>
          </cell>
          <cell r="O51" t="e">
            <v>#N/A</v>
          </cell>
          <cell r="P51" t="e">
            <v>#N/A</v>
          </cell>
        </row>
        <row r="52">
          <cell r="A52" t="str">
            <v>California</v>
          </cell>
          <cell r="B52" t="str">
            <v>var_ld</v>
          </cell>
          <cell r="C52">
            <v>4750</v>
          </cell>
          <cell r="D52">
            <v>4527</v>
          </cell>
          <cell r="E52" t="str">
            <v>dist</v>
          </cell>
          <cell r="F52">
            <v>4764</v>
          </cell>
          <cell r="G52">
            <v>4515</v>
          </cell>
          <cell r="H52" t="str">
            <v>labo</v>
          </cell>
          <cell r="I52">
            <v>3763.08</v>
          </cell>
          <cell r="J52">
            <v>3573</v>
          </cell>
          <cell r="K52" t="str">
            <v>ind_pr</v>
          </cell>
          <cell r="L52">
            <v>4211.45</v>
          </cell>
          <cell r="M52">
            <v>0</v>
          </cell>
          <cell r="N52">
            <v>0</v>
          </cell>
          <cell r="O52" t="e">
            <v>#N/A</v>
          </cell>
          <cell r="P52" t="e">
            <v>#N/A</v>
          </cell>
        </row>
        <row r="53">
          <cell r="A53" t="str">
            <v>Cambara</v>
          </cell>
          <cell r="B53" t="str">
            <v>var_ld</v>
          </cell>
          <cell r="C53">
            <v>4750</v>
          </cell>
          <cell r="D53">
            <v>4527</v>
          </cell>
          <cell r="E53" t="str">
            <v>dist</v>
          </cell>
          <cell r="F53">
            <v>4764</v>
          </cell>
          <cell r="G53">
            <v>4515</v>
          </cell>
          <cell r="H53" t="str">
            <v>labo</v>
          </cell>
          <cell r="I53">
            <v>3763.08</v>
          </cell>
          <cell r="J53">
            <v>3573</v>
          </cell>
          <cell r="K53" t="str">
            <v>ind_pr</v>
          </cell>
          <cell r="L53">
            <v>4211.45</v>
          </cell>
          <cell r="M53">
            <v>0</v>
          </cell>
          <cell r="N53" t="str">
            <v>hosp_nor</v>
          </cell>
          <cell r="O53">
            <v>1760</v>
          </cell>
          <cell r="P53">
            <v>0</v>
          </cell>
        </row>
        <row r="54">
          <cell r="A54" t="str">
            <v>Cambe</v>
          </cell>
          <cell r="B54" t="str">
            <v>var_ld</v>
          </cell>
          <cell r="C54">
            <v>4750</v>
          </cell>
          <cell r="D54">
            <v>4527</v>
          </cell>
          <cell r="E54" t="str">
            <v>dist</v>
          </cell>
          <cell r="F54">
            <v>4764</v>
          </cell>
          <cell r="G54">
            <v>4515</v>
          </cell>
          <cell r="H54" t="str">
            <v>labo</v>
          </cell>
          <cell r="I54">
            <v>3763.08</v>
          </cell>
          <cell r="J54">
            <v>3573</v>
          </cell>
          <cell r="K54" t="str">
            <v>ind_nor</v>
          </cell>
          <cell r="L54">
            <v>3446</v>
          </cell>
          <cell r="M54">
            <v>0</v>
          </cell>
          <cell r="N54">
            <v>0</v>
          </cell>
          <cell r="O54" t="e">
            <v>#N/A</v>
          </cell>
          <cell r="P54" t="e">
            <v>#N/A</v>
          </cell>
        </row>
        <row r="55">
          <cell r="A55" t="str">
            <v>Cambira</v>
          </cell>
          <cell r="B55" t="str">
            <v>var_pr</v>
          </cell>
          <cell r="C55">
            <v>4729.62</v>
          </cell>
          <cell r="D55">
            <v>4729.62</v>
          </cell>
          <cell r="E55" t="str">
            <v>dist</v>
          </cell>
          <cell r="F55">
            <v>4764</v>
          </cell>
          <cell r="G55">
            <v>4515</v>
          </cell>
          <cell r="H55" t="str">
            <v>labo</v>
          </cell>
          <cell r="I55">
            <v>3763.08</v>
          </cell>
          <cell r="J55">
            <v>3573</v>
          </cell>
          <cell r="K55" t="str">
            <v>ind_pr</v>
          </cell>
          <cell r="L55">
            <v>4211.45</v>
          </cell>
          <cell r="M55">
            <v>0</v>
          </cell>
          <cell r="N55">
            <v>0</v>
          </cell>
          <cell r="O55" t="e">
            <v>#N/A</v>
          </cell>
          <cell r="P55" t="e">
            <v>#N/A</v>
          </cell>
        </row>
        <row r="56">
          <cell r="A56" t="str">
            <v>Campina da Lagoa</v>
          </cell>
          <cell r="B56" t="str">
            <v>var_pr</v>
          </cell>
          <cell r="C56">
            <v>4729.62</v>
          </cell>
          <cell r="D56">
            <v>4729.62</v>
          </cell>
          <cell r="E56" t="str">
            <v>dist</v>
          </cell>
          <cell r="F56">
            <v>4764</v>
          </cell>
          <cell r="G56">
            <v>4515</v>
          </cell>
          <cell r="H56" t="str">
            <v>labo</v>
          </cell>
          <cell r="I56">
            <v>3763.08</v>
          </cell>
          <cell r="J56">
            <v>3573</v>
          </cell>
          <cell r="K56" t="str">
            <v>ind_pr</v>
          </cell>
          <cell r="L56">
            <v>4211.45</v>
          </cell>
          <cell r="M56">
            <v>0</v>
          </cell>
          <cell r="N56" t="str">
            <v>hosp_cm</v>
          </cell>
          <cell r="O56">
            <v>4133.2</v>
          </cell>
          <cell r="P56">
            <v>0</v>
          </cell>
        </row>
        <row r="57">
          <cell r="A57" t="str">
            <v>Campina do Simao</v>
          </cell>
          <cell r="B57" t="str">
            <v>var_pr</v>
          </cell>
          <cell r="C57">
            <v>4729.62</v>
          </cell>
          <cell r="D57">
            <v>4729.62</v>
          </cell>
          <cell r="E57" t="str">
            <v>dist</v>
          </cell>
          <cell r="F57">
            <v>4764</v>
          </cell>
          <cell r="G57">
            <v>4515</v>
          </cell>
          <cell r="H57" t="str">
            <v>labo</v>
          </cell>
          <cell r="I57">
            <v>3763.08</v>
          </cell>
          <cell r="J57">
            <v>3573</v>
          </cell>
          <cell r="K57" t="str">
            <v>ind_pr</v>
          </cell>
          <cell r="L57">
            <v>4211.45</v>
          </cell>
          <cell r="M57">
            <v>0</v>
          </cell>
          <cell r="N57" t="str">
            <v>hosp_co</v>
          </cell>
          <cell r="O57">
            <v>3036.29</v>
          </cell>
          <cell r="P57">
            <v>0</v>
          </cell>
        </row>
        <row r="58">
          <cell r="A58" t="str">
            <v>Campina Grande do Sul</v>
          </cell>
          <cell r="B58" t="str">
            <v>var_pr</v>
          </cell>
          <cell r="C58">
            <v>4729.62</v>
          </cell>
          <cell r="D58">
            <v>4729.62</v>
          </cell>
          <cell r="E58" t="str">
            <v>dist</v>
          </cell>
          <cell r="F58">
            <v>4764</v>
          </cell>
          <cell r="G58">
            <v>4515</v>
          </cell>
          <cell r="H58" t="str">
            <v>labo</v>
          </cell>
          <cell r="I58">
            <v>3763.08</v>
          </cell>
          <cell r="J58">
            <v>3573</v>
          </cell>
          <cell r="K58" t="str">
            <v>ind_pr</v>
          </cell>
          <cell r="L58">
            <v>4211.45</v>
          </cell>
          <cell r="M58">
            <v>0</v>
          </cell>
          <cell r="N58" t="str">
            <v>hosp_pr</v>
          </cell>
          <cell r="O58">
            <v>4567</v>
          </cell>
          <cell r="P58">
            <v>0</v>
          </cell>
        </row>
        <row r="59">
          <cell r="A59" t="str">
            <v>Campo Bonito</v>
          </cell>
          <cell r="B59" t="str">
            <v>var_op</v>
          </cell>
          <cell r="C59">
            <v>4410</v>
          </cell>
          <cell r="D59">
            <v>4219</v>
          </cell>
          <cell r="E59" t="str">
            <v>dist</v>
          </cell>
          <cell r="F59">
            <v>4764</v>
          </cell>
          <cell r="G59">
            <v>4515</v>
          </cell>
          <cell r="H59" t="str">
            <v>labo</v>
          </cell>
          <cell r="I59">
            <v>3763.08</v>
          </cell>
          <cell r="J59">
            <v>3573</v>
          </cell>
          <cell r="K59" t="str">
            <v>ind_pr</v>
          </cell>
          <cell r="L59">
            <v>4211.45</v>
          </cell>
          <cell r="M59">
            <v>0</v>
          </cell>
          <cell r="N59">
            <v>0</v>
          </cell>
          <cell r="O59" t="e">
            <v>#N/A</v>
          </cell>
          <cell r="P59" t="e">
            <v>#N/A</v>
          </cell>
        </row>
        <row r="60">
          <cell r="A60" t="str">
            <v>Campo do Tenente</v>
          </cell>
          <cell r="B60" t="str">
            <v>var_pr</v>
          </cell>
          <cell r="C60">
            <v>4729.62</v>
          </cell>
          <cell r="D60">
            <v>4729.62</v>
          </cell>
          <cell r="E60" t="str">
            <v>dist</v>
          </cell>
          <cell r="F60">
            <v>4764</v>
          </cell>
          <cell r="G60">
            <v>4515</v>
          </cell>
          <cell r="H60" t="str">
            <v>labo</v>
          </cell>
          <cell r="I60">
            <v>3763.08</v>
          </cell>
          <cell r="J60">
            <v>3573</v>
          </cell>
          <cell r="K60" t="str">
            <v>ind_pr</v>
          </cell>
          <cell r="L60">
            <v>4211.45</v>
          </cell>
          <cell r="M60">
            <v>0</v>
          </cell>
          <cell r="N60" t="str">
            <v>hosp_pr</v>
          </cell>
          <cell r="O60">
            <v>4567</v>
          </cell>
          <cell r="P60">
            <v>0</v>
          </cell>
        </row>
        <row r="61">
          <cell r="A61" t="str">
            <v>Campo Largo</v>
          </cell>
          <cell r="B61" t="str">
            <v>var_pr</v>
          </cell>
          <cell r="C61">
            <v>4729.62</v>
          </cell>
          <cell r="D61">
            <v>4729.62</v>
          </cell>
          <cell r="E61" t="str">
            <v>dist</v>
          </cell>
          <cell r="F61">
            <v>4764</v>
          </cell>
          <cell r="G61">
            <v>4515</v>
          </cell>
          <cell r="H61" t="str">
            <v>labo</v>
          </cell>
          <cell r="I61">
            <v>3763.08</v>
          </cell>
          <cell r="J61">
            <v>3573</v>
          </cell>
          <cell r="K61" t="str">
            <v>ind_pr</v>
          </cell>
          <cell r="L61">
            <v>4211.45</v>
          </cell>
          <cell r="M61">
            <v>0</v>
          </cell>
          <cell r="N61" t="str">
            <v>hosp_pr</v>
          </cell>
          <cell r="O61">
            <v>4567</v>
          </cell>
          <cell r="P61">
            <v>0</v>
          </cell>
        </row>
        <row r="62">
          <cell r="A62" t="str">
            <v>Campo Magro</v>
          </cell>
          <cell r="B62" t="str">
            <v>var_pr</v>
          </cell>
          <cell r="C62">
            <v>4729.62</v>
          </cell>
          <cell r="D62">
            <v>4729.62</v>
          </cell>
          <cell r="E62" t="str">
            <v>dist</v>
          </cell>
          <cell r="F62">
            <v>4764</v>
          </cell>
          <cell r="G62">
            <v>4515</v>
          </cell>
          <cell r="H62" t="str">
            <v>labo</v>
          </cell>
          <cell r="I62">
            <v>3763.08</v>
          </cell>
          <cell r="J62">
            <v>3573</v>
          </cell>
          <cell r="K62" t="str">
            <v>ind_pr</v>
          </cell>
          <cell r="L62">
            <v>4211.45</v>
          </cell>
          <cell r="M62">
            <v>0</v>
          </cell>
          <cell r="N62">
            <v>0</v>
          </cell>
          <cell r="O62" t="e">
            <v>#N/A</v>
          </cell>
          <cell r="P62" t="e">
            <v>#N/A</v>
          </cell>
        </row>
        <row r="63">
          <cell r="A63" t="str">
            <v>Campo Mourao</v>
          </cell>
          <cell r="B63" t="str">
            <v>var_pr</v>
          </cell>
          <cell r="C63">
            <v>4729.62</v>
          </cell>
          <cell r="D63">
            <v>4729.62</v>
          </cell>
          <cell r="E63" t="str">
            <v>dist</v>
          </cell>
          <cell r="F63">
            <v>4764</v>
          </cell>
          <cell r="G63">
            <v>4515</v>
          </cell>
          <cell r="H63" t="str">
            <v>labo</v>
          </cell>
          <cell r="I63">
            <v>3763.08</v>
          </cell>
          <cell r="J63">
            <v>3573</v>
          </cell>
          <cell r="K63" t="str">
            <v>ind_pr</v>
          </cell>
          <cell r="L63">
            <v>4211.45</v>
          </cell>
          <cell r="M63">
            <v>0</v>
          </cell>
          <cell r="N63" t="str">
            <v>hosp_cm</v>
          </cell>
          <cell r="O63">
            <v>4133.2</v>
          </cell>
          <cell r="P63">
            <v>0</v>
          </cell>
        </row>
        <row r="64">
          <cell r="A64" t="str">
            <v>Candido de Abreu</v>
          </cell>
          <cell r="B64" t="str">
            <v>var_pr</v>
          </cell>
          <cell r="C64">
            <v>4729.62</v>
          </cell>
          <cell r="D64">
            <v>4729.62</v>
          </cell>
          <cell r="E64" t="str">
            <v>dist</v>
          </cell>
          <cell r="F64">
            <v>4764</v>
          </cell>
          <cell r="G64">
            <v>4515</v>
          </cell>
          <cell r="H64" t="str">
            <v>labo</v>
          </cell>
          <cell r="I64">
            <v>3763.08</v>
          </cell>
          <cell r="J64">
            <v>3573</v>
          </cell>
          <cell r="K64" t="str">
            <v>ind_pr</v>
          </cell>
          <cell r="L64">
            <v>4211.45</v>
          </cell>
          <cell r="M64">
            <v>0</v>
          </cell>
          <cell r="N64">
            <v>0</v>
          </cell>
          <cell r="O64" t="e">
            <v>#N/A</v>
          </cell>
          <cell r="P64" t="e">
            <v>#N/A</v>
          </cell>
        </row>
        <row r="65">
          <cell r="A65" t="str">
            <v>Candoi</v>
          </cell>
          <cell r="B65" t="str">
            <v>var_pr</v>
          </cell>
          <cell r="C65">
            <v>4729.62</v>
          </cell>
          <cell r="D65">
            <v>4729.62</v>
          </cell>
          <cell r="E65" t="str">
            <v>dist</v>
          </cell>
          <cell r="F65">
            <v>4764</v>
          </cell>
          <cell r="G65">
            <v>4515</v>
          </cell>
          <cell r="H65" t="str">
            <v>labo</v>
          </cell>
          <cell r="I65">
            <v>3763.08</v>
          </cell>
          <cell r="J65">
            <v>3573</v>
          </cell>
          <cell r="K65" t="str">
            <v>ind_pr</v>
          </cell>
          <cell r="L65">
            <v>4211.45</v>
          </cell>
          <cell r="M65">
            <v>0</v>
          </cell>
          <cell r="N65" t="str">
            <v>hosp_co</v>
          </cell>
          <cell r="O65">
            <v>3036.29</v>
          </cell>
          <cell r="P65">
            <v>0</v>
          </cell>
        </row>
        <row r="66">
          <cell r="A66" t="str">
            <v>Cantagalo</v>
          </cell>
          <cell r="B66" t="str">
            <v>var_pr</v>
          </cell>
          <cell r="C66">
            <v>4729.62</v>
          </cell>
          <cell r="D66">
            <v>4729.62</v>
          </cell>
          <cell r="E66" t="str">
            <v>dist</v>
          </cell>
          <cell r="F66">
            <v>4764</v>
          </cell>
          <cell r="G66">
            <v>4515</v>
          </cell>
          <cell r="H66" t="str">
            <v>labo</v>
          </cell>
          <cell r="I66">
            <v>3763.08</v>
          </cell>
          <cell r="J66">
            <v>3573</v>
          </cell>
          <cell r="K66" t="str">
            <v>ind_pr</v>
          </cell>
          <cell r="L66">
            <v>4211.45</v>
          </cell>
          <cell r="M66">
            <v>0</v>
          </cell>
          <cell r="N66" t="str">
            <v>hosp_co</v>
          </cell>
          <cell r="O66">
            <v>3036.29</v>
          </cell>
          <cell r="P66">
            <v>0</v>
          </cell>
        </row>
        <row r="67">
          <cell r="A67" t="str">
            <v>Capanema</v>
          </cell>
          <cell r="B67" t="str">
            <v>var_pr</v>
          </cell>
          <cell r="C67">
            <v>4729.62</v>
          </cell>
          <cell r="D67">
            <v>4729.62</v>
          </cell>
          <cell r="E67" t="str">
            <v>dist</v>
          </cell>
          <cell r="F67">
            <v>4764</v>
          </cell>
          <cell r="G67">
            <v>4515</v>
          </cell>
          <cell r="H67" t="str">
            <v>labo</v>
          </cell>
          <cell r="I67">
            <v>3763.08</v>
          </cell>
          <cell r="J67">
            <v>3573</v>
          </cell>
          <cell r="K67" t="str">
            <v>ind_pr</v>
          </cell>
          <cell r="L67">
            <v>4211.45</v>
          </cell>
          <cell r="M67">
            <v>0</v>
          </cell>
          <cell r="N67" t="str">
            <v>hosp_sudpr</v>
          </cell>
          <cell r="O67">
            <v>1760</v>
          </cell>
          <cell r="P67">
            <v>0</v>
          </cell>
        </row>
        <row r="68">
          <cell r="A68" t="str">
            <v>Capitao Leonidas Marques</v>
          </cell>
          <cell r="B68" t="str">
            <v>var_op</v>
          </cell>
          <cell r="C68">
            <v>4410</v>
          </cell>
          <cell r="D68">
            <v>4219</v>
          </cell>
          <cell r="E68" t="str">
            <v>dist</v>
          </cell>
          <cell r="F68">
            <v>4764</v>
          </cell>
          <cell r="G68">
            <v>4515</v>
          </cell>
          <cell r="H68" t="str">
            <v>labo</v>
          </cell>
          <cell r="I68">
            <v>3763.08</v>
          </cell>
          <cell r="J68">
            <v>3573</v>
          </cell>
          <cell r="K68" t="str">
            <v>ind_pr</v>
          </cell>
          <cell r="L68">
            <v>4211.45</v>
          </cell>
          <cell r="M68">
            <v>0</v>
          </cell>
          <cell r="N68">
            <v>0</v>
          </cell>
          <cell r="O68" t="e">
            <v>#N/A</v>
          </cell>
          <cell r="P68" t="e">
            <v>#N/A</v>
          </cell>
        </row>
        <row r="69">
          <cell r="A69" t="str">
            <v>Carambei</v>
          </cell>
          <cell r="B69" t="str">
            <v>var_pr</v>
          </cell>
          <cell r="C69">
            <v>4729.62</v>
          </cell>
          <cell r="D69">
            <v>4729.62</v>
          </cell>
          <cell r="E69" t="str">
            <v>dist</v>
          </cell>
          <cell r="F69">
            <v>4764</v>
          </cell>
          <cell r="G69">
            <v>4515</v>
          </cell>
          <cell r="H69" t="str">
            <v>labo</v>
          </cell>
          <cell r="I69">
            <v>3763.08</v>
          </cell>
          <cell r="J69">
            <v>3573</v>
          </cell>
          <cell r="K69" t="str">
            <v>ind_pr</v>
          </cell>
          <cell r="L69">
            <v>4211.45</v>
          </cell>
          <cell r="M69">
            <v>0</v>
          </cell>
          <cell r="N69">
            <v>0</v>
          </cell>
          <cell r="O69" t="e">
            <v>#N/A</v>
          </cell>
          <cell r="P69" t="e">
            <v>#N/A</v>
          </cell>
        </row>
        <row r="70">
          <cell r="A70" t="str">
            <v>Carlopolis</v>
          </cell>
          <cell r="B70" t="str">
            <v>var_sto</v>
          </cell>
          <cell r="C70">
            <v>5030</v>
          </cell>
          <cell r="D70">
            <v>5030</v>
          </cell>
          <cell r="E70" t="str">
            <v>dist</v>
          </cell>
          <cell r="F70">
            <v>4764</v>
          </cell>
          <cell r="G70">
            <v>4515</v>
          </cell>
          <cell r="H70" t="str">
            <v>labo</v>
          </cell>
          <cell r="I70">
            <v>3763.08</v>
          </cell>
          <cell r="J70">
            <v>3573</v>
          </cell>
          <cell r="K70" t="str">
            <v>ind_pr</v>
          </cell>
          <cell r="L70">
            <v>4211.45</v>
          </cell>
          <cell r="M70">
            <v>0</v>
          </cell>
          <cell r="N70" t="str">
            <v>hosp_nor</v>
          </cell>
          <cell r="O70">
            <v>1760</v>
          </cell>
          <cell r="P70">
            <v>0</v>
          </cell>
        </row>
        <row r="71">
          <cell r="A71" t="str">
            <v>Cascavel</v>
          </cell>
          <cell r="B71" t="str">
            <v>var_op</v>
          </cell>
          <cell r="C71">
            <v>4410</v>
          </cell>
          <cell r="D71">
            <v>4219</v>
          </cell>
          <cell r="E71" t="str">
            <v>dist</v>
          </cell>
          <cell r="F71">
            <v>4764</v>
          </cell>
          <cell r="G71">
            <v>4515</v>
          </cell>
          <cell r="H71" t="str">
            <v>labo</v>
          </cell>
          <cell r="I71">
            <v>3763.08</v>
          </cell>
          <cell r="J71">
            <v>3573</v>
          </cell>
          <cell r="K71" t="str">
            <v>ind_pr</v>
          </cell>
          <cell r="L71">
            <v>4211.45</v>
          </cell>
          <cell r="M71">
            <v>0</v>
          </cell>
          <cell r="N71">
            <v>0</v>
          </cell>
          <cell r="O71" t="e">
            <v>#N/A</v>
          </cell>
          <cell r="P71" t="e">
            <v>#N/A</v>
          </cell>
        </row>
        <row r="72">
          <cell r="A72" t="str">
            <v>Castro</v>
          </cell>
          <cell r="B72" t="str">
            <v>var_pr</v>
          </cell>
          <cell r="C72">
            <v>4729.62</v>
          </cell>
          <cell r="D72">
            <v>4729.62</v>
          </cell>
          <cell r="E72" t="str">
            <v>dist</v>
          </cell>
          <cell r="F72">
            <v>4764</v>
          </cell>
          <cell r="G72">
            <v>4515</v>
          </cell>
          <cell r="H72" t="str">
            <v>labo</v>
          </cell>
          <cell r="I72">
            <v>3763.08</v>
          </cell>
          <cell r="J72">
            <v>3573</v>
          </cell>
          <cell r="K72" t="str">
            <v>ind_pr</v>
          </cell>
          <cell r="L72">
            <v>4211.45</v>
          </cell>
          <cell r="M72">
            <v>0</v>
          </cell>
          <cell r="N72">
            <v>0</v>
          </cell>
          <cell r="O72" t="e">
            <v>#N/A</v>
          </cell>
          <cell r="P72" t="e">
            <v>#N/A</v>
          </cell>
        </row>
        <row r="73">
          <cell r="A73" t="str">
            <v>Catanduvas</v>
          </cell>
          <cell r="B73" t="str">
            <v>var_op</v>
          </cell>
          <cell r="C73">
            <v>4410</v>
          </cell>
          <cell r="D73">
            <v>4219</v>
          </cell>
          <cell r="E73" t="str">
            <v>dist</v>
          </cell>
          <cell r="F73">
            <v>4764</v>
          </cell>
          <cell r="G73">
            <v>4515</v>
          </cell>
          <cell r="H73" t="str">
            <v>labo</v>
          </cell>
          <cell r="I73">
            <v>3763.08</v>
          </cell>
          <cell r="J73">
            <v>3573</v>
          </cell>
          <cell r="K73" t="str">
            <v>ind_pr</v>
          </cell>
          <cell r="L73">
            <v>4211.45</v>
          </cell>
          <cell r="M73">
            <v>0</v>
          </cell>
          <cell r="N73">
            <v>0</v>
          </cell>
          <cell r="O73" t="e">
            <v>#N/A</v>
          </cell>
          <cell r="P73" t="e">
            <v>#N/A</v>
          </cell>
        </row>
        <row r="74">
          <cell r="A74" t="str">
            <v>Centenario do Sul</v>
          </cell>
          <cell r="B74" t="str">
            <v>var_ld</v>
          </cell>
          <cell r="C74">
            <v>4750</v>
          </cell>
          <cell r="D74">
            <v>4527</v>
          </cell>
          <cell r="E74" t="str">
            <v>dist</v>
          </cell>
          <cell r="F74">
            <v>4764</v>
          </cell>
          <cell r="G74">
            <v>4515</v>
          </cell>
          <cell r="H74" t="str">
            <v>labo</v>
          </cell>
          <cell r="I74">
            <v>3763.08</v>
          </cell>
          <cell r="J74">
            <v>3573</v>
          </cell>
          <cell r="K74" t="str">
            <v>ind_pr</v>
          </cell>
          <cell r="L74">
            <v>4211.45</v>
          </cell>
          <cell r="M74">
            <v>0</v>
          </cell>
          <cell r="N74">
            <v>0</v>
          </cell>
          <cell r="O74" t="e">
            <v>#N/A</v>
          </cell>
          <cell r="P74" t="e">
            <v>#N/A</v>
          </cell>
        </row>
        <row r="75">
          <cell r="A75" t="str">
            <v>Cerro Azul</v>
          </cell>
          <cell r="B75" t="str">
            <v>var_pr</v>
          </cell>
          <cell r="C75">
            <v>4729.62</v>
          </cell>
          <cell r="D75">
            <v>4729.62</v>
          </cell>
          <cell r="E75" t="str">
            <v>dist</v>
          </cell>
          <cell r="F75">
            <v>4764</v>
          </cell>
          <cell r="G75">
            <v>4515</v>
          </cell>
          <cell r="H75" t="str">
            <v>labo</v>
          </cell>
          <cell r="I75">
            <v>3763.08</v>
          </cell>
          <cell r="J75">
            <v>3573</v>
          </cell>
          <cell r="K75" t="str">
            <v>ind_pr</v>
          </cell>
          <cell r="L75">
            <v>4211.45</v>
          </cell>
          <cell r="M75">
            <v>0</v>
          </cell>
          <cell r="N75" t="str">
            <v>hosp_pr</v>
          </cell>
          <cell r="O75">
            <v>4567</v>
          </cell>
          <cell r="P75">
            <v>0</v>
          </cell>
        </row>
        <row r="76">
          <cell r="A76" t="str">
            <v>Ceu Azul</v>
          </cell>
          <cell r="B76" t="str">
            <v>var_op</v>
          </cell>
          <cell r="C76">
            <v>4410</v>
          </cell>
          <cell r="D76">
            <v>4219</v>
          </cell>
          <cell r="E76" t="str">
            <v>dist</v>
          </cell>
          <cell r="F76">
            <v>4764</v>
          </cell>
          <cell r="G76">
            <v>4515</v>
          </cell>
          <cell r="H76" t="str">
            <v>labo</v>
          </cell>
          <cell r="I76">
            <v>3763.08</v>
          </cell>
          <cell r="J76">
            <v>3573</v>
          </cell>
          <cell r="K76" t="str">
            <v>ind_pr</v>
          </cell>
          <cell r="L76">
            <v>4211.45</v>
          </cell>
          <cell r="M76">
            <v>0</v>
          </cell>
          <cell r="N76">
            <v>0</v>
          </cell>
          <cell r="O76" t="e">
            <v>#N/A</v>
          </cell>
          <cell r="P76" t="e">
            <v>#N/A</v>
          </cell>
        </row>
        <row r="77">
          <cell r="A77" t="str">
            <v>Chopinzinho</v>
          </cell>
          <cell r="B77" t="str">
            <v>var_pr</v>
          </cell>
          <cell r="C77">
            <v>4729.62</v>
          </cell>
          <cell r="D77">
            <v>4729.62</v>
          </cell>
          <cell r="E77" t="str">
            <v>dist</v>
          </cell>
          <cell r="F77">
            <v>4764</v>
          </cell>
          <cell r="G77">
            <v>4515</v>
          </cell>
          <cell r="H77" t="str">
            <v>labo</v>
          </cell>
          <cell r="I77">
            <v>3763.08</v>
          </cell>
          <cell r="J77">
            <v>3573</v>
          </cell>
          <cell r="K77" t="str">
            <v>ind_pr</v>
          </cell>
          <cell r="L77">
            <v>4211.45</v>
          </cell>
          <cell r="M77">
            <v>0</v>
          </cell>
          <cell r="N77" t="str">
            <v>hosp_pb</v>
          </cell>
          <cell r="O77">
            <v>1760</v>
          </cell>
          <cell r="P77">
            <v>0</v>
          </cell>
        </row>
        <row r="78">
          <cell r="A78" t="str">
            <v>Cianorte</v>
          </cell>
          <cell r="B78" t="str">
            <v>var_pr</v>
          </cell>
          <cell r="C78">
            <v>4729.62</v>
          </cell>
          <cell r="D78">
            <v>4729.62</v>
          </cell>
          <cell r="E78" t="str">
            <v>dist</v>
          </cell>
          <cell r="F78">
            <v>4764</v>
          </cell>
          <cell r="G78">
            <v>4515</v>
          </cell>
          <cell r="H78" t="str">
            <v>labo</v>
          </cell>
          <cell r="I78">
            <v>3763.08</v>
          </cell>
          <cell r="J78">
            <v>3573</v>
          </cell>
          <cell r="K78" t="str">
            <v>ind_pr</v>
          </cell>
          <cell r="L78">
            <v>4211.45</v>
          </cell>
          <cell r="M78">
            <v>0</v>
          </cell>
          <cell r="N78" t="str">
            <v>hosp_cia</v>
          </cell>
          <cell r="O78">
            <v>4003.87</v>
          </cell>
          <cell r="P78">
            <v>0</v>
          </cell>
        </row>
        <row r="79">
          <cell r="A79" t="str">
            <v>Cidade Gaucha</v>
          </cell>
          <cell r="B79" t="str">
            <v>var_pr</v>
          </cell>
          <cell r="C79">
            <v>4729.62</v>
          </cell>
          <cell r="D79">
            <v>4729.62</v>
          </cell>
          <cell r="E79" t="str">
            <v>dist</v>
          </cell>
          <cell r="F79">
            <v>4764</v>
          </cell>
          <cell r="G79">
            <v>4515</v>
          </cell>
          <cell r="H79" t="str">
            <v>labo</v>
          </cell>
          <cell r="I79">
            <v>3763.08</v>
          </cell>
          <cell r="J79">
            <v>3573</v>
          </cell>
          <cell r="K79" t="str">
            <v>ind_pr</v>
          </cell>
          <cell r="L79">
            <v>4211.45</v>
          </cell>
          <cell r="M79">
            <v>0</v>
          </cell>
          <cell r="N79" t="str">
            <v>hosp_cia</v>
          </cell>
          <cell r="O79">
            <v>4003.87</v>
          </cell>
          <cell r="P79">
            <v>0</v>
          </cell>
        </row>
        <row r="80">
          <cell r="A80" t="str">
            <v>Clevelandia</v>
          </cell>
          <cell r="B80" t="str">
            <v>var_pr</v>
          </cell>
          <cell r="C80">
            <v>4729.62</v>
          </cell>
          <cell r="D80">
            <v>4729.62</v>
          </cell>
          <cell r="E80" t="str">
            <v>dist</v>
          </cell>
          <cell r="F80">
            <v>4764</v>
          </cell>
          <cell r="G80">
            <v>4515</v>
          </cell>
          <cell r="H80" t="str">
            <v>labo</v>
          </cell>
          <cell r="I80">
            <v>3763.08</v>
          </cell>
          <cell r="J80">
            <v>3573</v>
          </cell>
          <cell r="K80" t="str">
            <v>ind_pr</v>
          </cell>
          <cell r="L80">
            <v>4211.45</v>
          </cell>
          <cell r="M80">
            <v>0</v>
          </cell>
          <cell r="N80" t="str">
            <v>hosp_pb</v>
          </cell>
          <cell r="O80">
            <v>1760</v>
          </cell>
          <cell r="P80">
            <v>0</v>
          </cell>
        </row>
        <row r="81">
          <cell r="A81" t="str">
            <v>Colombo</v>
          </cell>
          <cell r="B81" t="str">
            <v>var_pr</v>
          </cell>
          <cell r="C81">
            <v>4729.62</v>
          </cell>
          <cell r="D81">
            <v>4729.62</v>
          </cell>
          <cell r="E81" t="str">
            <v>dist</v>
          </cell>
          <cell r="F81">
            <v>4764</v>
          </cell>
          <cell r="G81">
            <v>4515</v>
          </cell>
          <cell r="H81" t="str">
            <v>labo</v>
          </cell>
          <cell r="I81">
            <v>3763.08</v>
          </cell>
          <cell r="J81">
            <v>3573</v>
          </cell>
          <cell r="K81" t="str">
            <v>ind_pr</v>
          </cell>
          <cell r="L81">
            <v>4211.45</v>
          </cell>
          <cell r="M81">
            <v>0</v>
          </cell>
          <cell r="N81" t="str">
            <v>hosp_pr</v>
          </cell>
          <cell r="O81">
            <v>4567</v>
          </cell>
          <cell r="P81">
            <v>0</v>
          </cell>
        </row>
        <row r="82">
          <cell r="A82" t="str">
            <v>Colorado</v>
          </cell>
          <cell r="B82" t="str">
            <v>var_pr</v>
          </cell>
          <cell r="C82">
            <v>4729.62</v>
          </cell>
          <cell r="D82">
            <v>4729.62</v>
          </cell>
          <cell r="E82" t="str">
            <v>dist</v>
          </cell>
          <cell r="F82">
            <v>4764</v>
          </cell>
          <cell r="G82">
            <v>4515</v>
          </cell>
          <cell r="H82" t="str">
            <v>labo</v>
          </cell>
          <cell r="I82">
            <v>3763.08</v>
          </cell>
          <cell r="J82">
            <v>3573</v>
          </cell>
          <cell r="K82" t="str">
            <v>ind_pr</v>
          </cell>
          <cell r="L82">
            <v>4211.45</v>
          </cell>
          <cell r="M82">
            <v>0</v>
          </cell>
          <cell r="N82" t="str">
            <v>hosp_mg</v>
          </cell>
          <cell r="O82">
            <v>3888.38</v>
          </cell>
          <cell r="P82">
            <v>0</v>
          </cell>
        </row>
        <row r="83">
          <cell r="A83" t="str">
            <v>Congonhinhas</v>
          </cell>
          <cell r="B83" t="str">
            <v>var_pr</v>
          </cell>
          <cell r="C83">
            <v>4729.62</v>
          </cell>
          <cell r="D83">
            <v>4729.62</v>
          </cell>
          <cell r="E83" t="str">
            <v>dist</v>
          </cell>
          <cell r="F83">
            <v>4764</v>
          </cell>
          <cell r="G83">
            <v>4515</v>
          </cell>
          <cell r="H83" t="str">
            <v>labo</v>
          </cell>
          <cell r="I83">
            <v>3763.08</v>
          </cell>
          <cell r="J83">
            <v>3573</v>
          </cell>
          <cell r="K83" t="str">
            <v>ind_pr</v>
          </cell>
          <cell r="L83">
            <v>4211.45</v>
          </cell>
          <cell r="M83">
            <v>0</v>
          </cell>
          <cell r="N83">
            <v>0</v>
          </cell>
          <cell r="O83" t="e">
            <v>#N/A</v>
          </cell>
          <cell r="P83" t="e">
            <v>#N/A</v>
          </cell>
        </row>
        <row r="84">
          <cell r="A84" t="str">
            <v>Conselheiro Mairinck</v>
          </cell>
          <cell r="B84" t="str">
            <v>var_sto</v>
          </cell>
          <cell r="C84">
            <v>5030</v>
          </cell>
          <cell r="D84">
            <v>5030</v>
          </cell>
          <cell r="E84" t="str">
            <v>dist</v>
          </cell>
          <cell r="F84">
            <v>4764</v>
          </cell>
          <cell r="G84">
            <v>4515</v>
          </cell>
          <cell r="H84" t="str">
            <v>labo</v>
          </cell>
          <cell r="I84">
            <v>3763.08</v>
          </cell>
          <cell r="J84">
            <v>3573</v>
          </cell>
          <cell r="K84" t="str">
            <v>ind_pr</v>
          </cell>
          <cell r="L84">
            <v>4211.45</v>
          </cell>
          <cell r="M84">
            <v>0</v>
          </cell>
          <cell r="N84" t="str">
            <v>hosp_nor</v>
          </cell>
          <cell r="O84">
            <v>1760</v>
          </cell>
          <cell r="P84">
            <v>0</v>
          </cell>
        </row>
        <row r="85">
          <cell r="A85" t="str">
            <v>Contenda</v>
          </cell>
          <cell r="B85" t="str">
            <v>var_pr</v>
          </cell>
          <cell r="C85">
            <v>4729.62</v>
          </cell>
          <cell r="D85">
            <v>4729.62</v>
          </cell>
          <cell r="E85" t="str">
            <v>dist</v>
          </cell>
          <cell r="F85">
            <v>4764</v>
          </cell>
          <cell r="G85">
            <v>4515</v>
          </cell>
          <cell r="H85" t="str">
            <v>labo</v>
          </cell>
          <cell r="I85">
            <v>3763.08</v>
          </cell>
          <cell r="J85">
            <v>3573</v>
          </cell>
          <cell r="K85" t="str">
            <v>ind_pr</v>
          </cell>
          <cell r="L85">
            <v>4211.45</v>
          </cell>
          <cell r="M85">
            <v>0</v>
          </cell>
          <cell r="N85" t="str">
            <v>hosp_pr</v>
          </cell>
          <cell r="O85">
            <v>4567</v>
          </cell>
          <cell r="P85">
            <v>0</v>
          </cell>
        </row>
        <row r="86">
          <cell r="A86" t="str">
            <v>Corbelia</v>
          </cell>
          <cell r="B86" t="str">
            <v>var_op</v>
          </cell>
          <cell r="C86">
            <v>4410</v>
          </cell>
          <cell r="D86">
            <v>4219</v>
          </cell>
          <cell r="E86" t="str">
            <v>dist</v>
          </cell>
          <cell r="F86">
            <v>4764</v>
          </cell>
          <cell r="G86">
            <v>4515</v>
          </cell>
          <cell r="H86" t="str">
            <v>labo</v>
          </cell>
          <cell r="I86">
            <v>3763.08</v>
          </cell>
          <cell r="J86">
            <v>3573</v>
          </cell>
          <cell r="K86" t="str">
            <v>ind_pr</v>
          </cell>
          <cell r="L86">
            <v>4211.45</v>
          </cell>
          <cell r="M86">
            <v>0</v>
          </cell>
          <cell r="N86">
            <v>0</v>
          </cell>
          <cell r="O86" t="e">
            <v>#N/A</v>
          </cell>
          <cell r="P86" t="e">
            <v>#N/A</v>
          </cell>
        </row>
        <row r="87">
          <cell r="A87" t="str">
            <v>Cornelio Procopio</v>
          </cell>
          <cell r="B87" t="str">
            <v>var_ld</v>
          </cell>
          <cell r="C87">
            <v>4750</v>
          </cell>
          <cell r="D87">
            <v>4527</v>
          </cell>
          <cell r="E87" t="str">
            <v>dist</v>
          </cell>
          <cell r="F87">
            <v>4764</v>
          </cell>
          <cell r="G87">
            <v>4515</v>
          </cell>
          <cell r="H87" t="str">
            <v>labo</v>
          </cell>
          <cell r="I87">
            <v>3763.08</v>
          </cell>
          <cell r="J87">
            <v>3573</v>
          </cell>
          <cell r="K87" t="str">
            <v>ind_pr</v>
          </cell>
          <cell r="L87">
            <v>4211.45</v>
          </cell>
          <cell r="M87">
            <v>0</v>
          </cell>
          <cell r="N87" t="str">
            <v>hosp_cp</v>
          </cell>
          <cell r="O87">
            <v>1600</v>
          </cell>
          <cell r="P87">
            <v>0</v>
          </cell>
        </row>
        <row r="88">
          <cell r="A88" t="str">
            <v>Coronel Domingos Soares</v>
          </cell>
          <cell r="B88" t="str">
            <v>var_pr</v>
          </cell>
          <cell r="C88">
            <v>4729.62</v>
          </cell>
          <cell r="D88">
            <v>4729.62</v>
          </cell>
          <cell r="E88" t="str">
            <v>dist</v>
          </cell>
          <cell r="F88">
            <v>4764</v>
          </cell>
          <cell r="G88">
            <v>4515</v>
          </cell>
          <cell r="H88" t="str">
            <v>labo</v>
          </cell>
          <cell r="I88">
            <v>3763.08</v>
          </cell>
          <cell r="J88">
            <v>3573</v>
          </cell>
          <cell r="K88" t="str">
            <v>ind_pr</v>
          </cell>
          <cell r="L88">
            <v>4211.45</v>
          </cell>
          <cell r="M88">
            <v>0</v>
          </cell>
          <cell r="N88" t="str">
            <v>hosp_pb</v>
          </cell>
          <cell r="O88">
            <v>1760</v>
          </cell>
          <cell r="P88">
            <v>0</v>
          </cell>
        </row>
        <row r="89">
          <cell r="A89" t="str">
            <v>Coronel Vivida</v>
          </cell>
          <cell r="B89" t="str">
            <v>var_pr</v>
          </cell>
          <cell r="C89">
            <v>4729.62</v>
          </cell>
          <cell r="D89">
            <v>4729.62</v>
          </cell>
          <cell r="E89" t="str">
            <v>dist</v>
          </cell>
          <cell r="F89">
            <v>4764</v>
          </cell>
          <cell r="G89">
            <v>4515</v>
          </cell>
          <cell r="H89" t="str">
            <v>labo</v>
          </cell>
          <cell r="I89">
            <v>3763.08</v>
          </cell>
          <cell r="J89">
            <v>3573</v>
          </cell>
          <cell r="K89" t="str">
            <v>ind_pr</v>
          </cell>
          <cell r="L89">
            <v>4211.45</v>
          </cell>
          <cell r="M89">
            <v>0</v>
          </cell>
          <cell r="N89" t="str">
            <v>hosp_pb</v>
          </cell>
          <cell r="O89">
            <v>1760</v>
          </cell>
          <cell r="P89">
            <v>0</v>
          </cell>
        </row>
        <row r="90">
          <cell r="A90" t="str">
            <v>Corumbatai do Sul</v>
          </cell>
          <cell r="B90" t="str">
            <v>var_pr</v>
          </cell>
          <cell r="C90">
            <v>4729.62</v>
          </cell>
          <cell r="D90">
            <v>4729.62</v>
          </cell>
          <cell r="E90" t="str">
            <v>dist</v>
          </cell>
          <cell r="F90">
            <v>4764</v>
          </cell>
          <cell r="G90">
            <v>4515</v>
          </cell>
          <cell r="H90" t="str">
            <v>labo</v>
          </cell>
          <cell r="I90">
            <v>3763.08</v>
          </cell>
          <cell r="J90">
            <v>3573</v>
          </cell>
          <cell r="K90" t="str">
            <v>ind_pr</v>
          </cell>
          <cell r="L90">
            <v>4211.45</v>
          </cell>
          <cell r="M90">
            <v>0</v>
          </cell>
          <cell r="N90" t="str">
            <v>hosp_cm</v>
          </cell>
          <cell r="O90">
            <v>4133.2</v>
          </cell>
          <cell r="P90">
            <v>0</v>
          </cell>
        </row>
        <row r="91">
          <cell r="A91" t="str">
            <v>Cruz Machado</v>
          </cell>
          <cell r="B91" t="str">
            <v>var_pr</v>
          </cell>
          <cell r="C91">
            <v>4729.62</v>
          </cell>
          <cell r="D91">
            <v>4729.62</v>
          </cell>
          <cell r="E91" t="str">
            <v>dist</v>
          </cell>
          <cell r="F91">
            <v>4764</v>
          </cell>
          <cell r="G91">
            <v>4515</v>
          </cell>
          <cell r="H91" t="str">
            <v>labo</v>
          </cell>
          <cell r="I91">
            <v>3763.08</v>
          </cell>
          <cell r="J91">
            <v>3573</v>
          </cell>
          <cell r="K91" t="str">
            <v>ind_pr</v>
          </cell>
          <cell r="L91">
            <v>4211.45</v>
          </cell>
          <cell r="M91">
            <v>0</v>
          </cell>
          <cell r="N91">
            <v>0</v>
          </cell>
          <cell r="O91" t="e">
            <v>#N/A</v>
          </cell>
          <cell r="P91" t="e">
            <v>#N/A</v>
          </cell>
        </row>
        <row r="92">
          <cell r="A92" t="str">
            <v>Cruzeiro do Iguaçu</v>
          </cell>
          <cell r="B92" t="str">
            <v>var_pr</v>
          </cell>
          <cell r="C92">
            <v>4729.62</v>
          </cell>
          <cell r="D92">
            <v>4729.62</v>
          </cell>
          <cell r="E92" t="str">
            <v>dist</v>
          </cell>
          <cell r="F92">
            <v>4764</v>
          </cell>
          <cell r="G92">
            <v>4515</v>
          </cell>
          <cell r="H92" t="str">
            <v>labo</v>
          </cell>
          <cell r="I92">
            <v>3763.08</v>
          </cell>
          <cell r="J92">
            <v>3573</v>
          </cell>
          <cell r="K92" t="str">
            <v>ind_pr</v>
          </cell>
          <cell r="L92">
            <v>4211.45</v>
          </cell>
          <cell r="M92">
            <v>0</v>
          </cell>
          <cell r="N92" t="str">
            <v>hosp_sudpr</v>
          </cell>
          <cell r="O92">
            <v>1760</v>
          </cell>
          <cell r="P92">
            <v>0</v>
          </cell>
        </row>
        <row r="93">
          <cell r="A93" t="str">
            <v>Cruzeiro do Oeste</v>
          </cell>
          <cell r="B93" t="str">
            <v>var_pr</v>
          </cell>
          <cell r="C93">
            <v>4729.62</v>
          </cell>
          <cell r="D93">
            <v>4729.62</v>
          </cell>
          <cell r="E93" t="str">
            <v>dist</v>
          </cell>
          <cell r="F93">
            <v>4764</v>
          </cell>
          <cell r="G93">
            <v>4515</v>
          </cell>
          <cell r="H93" t="str">
            <v>labo</v>
          </cell>
          <cell r="I93">
            <v>3763.08</v>
          </cell>
          <cell r="J93">
            <v>3573</v>
          </cell>
          <cell r="K93" t="str">
            <v>ind_pr</v>
          </cell>
          <cell r="L93">
            <v>4211.45</v>
          </cell>
          <cell r="M93">
            <v>0</v>
          </cell>
          <cell r="N93" t="str">
            <v>hosp_umu</v>
          </cell>
          <cell r="O93">
            <v>2428.5500000000002</v>
          </cell>
          <cell r="P93">
            <v>0</v>
          </cell>
        </row>
        <row r="94">
          <cell r="A94" t="str">
            <v>Cruzeiro do Sul</v>
          </cell>
          <cell r="B94" t="str">
            <v>var_par</v>
          </cell>
          <cell r="C94">
            <v>4846</v>
          </cell>
          <cell r="D94">
            <v>4846</v>
          </cell>
          <cell r="E94" t="str">
            <v>dist</v>
          </cell>
          <cell r="F94">
            <v>4764</v>
          </cell>
          <cell r="G94">
            <v>4515</v>
          </cell>
          <cell r="H94" t="str">
            <v>labo</v>
          </cell>
          <cell r="I94">
            <v>3763.08</v>
          </cell>
          <cell r="J94">
            <v>3573</v>
          </cell>
          <cell r="K94" t="str">
            <v>ind_pr</v>
          </cell>
          <cell r="L94">
            <v>4211.45</v>
          </cell>
          <cell r="M94">
            <v>0</v>
          </cell>
          <cell r="N94">
            <v>0</v>
          </cell>
          <cell r="O94" t="e">
            <v>#N/A</v>
          </cell>
          <cell r="P94" t="e">
            <v>#N/A</v>
          </cell>
        </row>
        <row r="95">
          <cell r="A95" t="str">
            <v>Cruzmaltina</v>
          </cell>
          <cell r="B95" t="str">
            <v>var_pr</v>
          </cell>
          <cell r="C95">
            <v>4729.62</v>
          </cell>
          <cell r="D95">
            <v>4729.62</v>
          </cell>
          <cell r="E95" t="str">
            <v>dist</v>
          </cell>
          <cell r="F95">
            <v>4764</v>
          </cell>
          <cell r="G95">
            <v>4515</v>
          </cell>
          <cell r="H95" t="str">
            <v>labo</v>
          </cell>
          <cell r="I95">
            <v>3763.08</v>
          </cell>
          <cell r="J95">
            <v>3573</v>
          </cell>
          <cell r="K95" t="str">
            <v>ind_pr</v>
          </cell>
          <cell r="L95">
            <v>4211.45</v>
          </cell>
          <cell r="M95">
            <v>0</v>
          </cell>
          <cell r="N95">
            <v>0</v>
          </cell>
          <cell r="O95" t="e">
            <v>#N/A</v>
          </cell>
          <cell r="P95" t="e">
            <v>#N/A</v>
          </cell>
        </row>
        <row r="96">
          <cell r="A96" t="str">
            <v>Curitiba</v>
          </cell>
          <cell r="B96" t="str">
            <v>var_pr</v>
          </cell>
          <cell r="C96">
            <v>4729.62</v>
          </cell>
          <cell r="D96">
            <v>4729.62</v>
          </cell>
          <cell r="E96" t="str">
            <v>dist</v>
          </cell>
          <cell r="F96">
            <v>4764</v>
          </cell>
          <cell r="G96">
            <v>4515</v>
          </cell>
          <cell r="H96" t="str">
            <v>labo</v>
          </cell>
          <cell r="I96">
            <v>3763.08</v>
          </cell>
          <cell r="J96">
            <v>3573</v>
          </cell>
          <cell r="K96" t="str">
            <v>ind_pr</v>
          </cell>
          <cell r="L96">
            <v>4211.45</v>
          </cell>
          <cell r="M96">
            <v>0</v>
          </cell>
          <cell r="N96" t="str">
            <v>hosp_pr</v>
          </cell>
          <cell r="O96">
            <v>4567</v>
          </cell>
          <cell r="P96">
            <v>0</v>
          </cell>
        </row>
        <row r="97">
          <cell r="A97" t="str">
            <v>Curiuva</v>
          </cell>
          <cell r="B97" t="str">
            <v>var_pr</v>
          </cell>
          <cell r="C97">
            <v>4729.62</v>
          </cell>
          <cell r="D97">
            <v>4729.62</v>
          </cell>
          <cell r="E97" t="str">
            <v>dist</v>
          </cell>
          <cell r="F97">
            <v>4764</v>
          </cell>
          <cell r="G97">
            <v>4515</v>
          </cell>
          <cell r="H97" t="str">
            <v>labo</v>
          </cell>
          <cell r="I97">
            <v>3763.08</v>
          </cell>
          <cell r="J97">
            <v>3573</v>
          </cell>
          <cell r="K97" t="str">
            <v>ind_pr</v>
          </cell>
          <cell r="L97">
            <v>4211.45</v>
          </cell>
          <cell r="M97">
            <v>0</v>
          </cell>
          <cell r="N97" t="str">
            <v>hosp_nor</v>
          </cell>
          <cell r="O97">
            <v>1760</v>
          </cell>
          <cell r="P97">
            <v>0</v>
          </cell>
        </row>
        <row r="98">
          <cell r="A98" t="str">
            <v>Diamante do Norte</v>
          </cell>
          <cell r="B98" t="str">
            <v>var_par</v>
          </cell>
          <cell r="C98">
            <v>4846</v>
          </cell>
          <cell r="D98">
            <v>4846</v>
          </cell>
          <cell r="E98" t="str">
            <v>dist</v>
          </cell>
          <cell r="F98">
            <v>4764</v>
          </cell>
          <cell r="G98">
            <v>4515</v>
          </cell>
          <cell r="H98" t="str">
            <v>labo</v>
          </cell>
          <cell r="I98">
            <v>3763.08</v>
          </cell>
          <cell r="J98">
            <v>3573</v>
          </cell>
          <cell r="K98" t="str">
            <v>ind_pr</v>
          </cell>
          <cell r="L98">
            <v>4211.45</v>
          </cell>
          <cell r="M98">
            <v>0</v>
          </cell>
          <cell r="N98" t="str">
            <v>hosp_pr</v>
          </cell>
          <cell r="O98">
            <v>4567</v>
          </cell>
          <cell r="P98">
            <v>0</v>
          </cell>
        </row>
        <row r="99">
          <cell r="A99" t="str">
            <v>Diamante do Oeste</v>
          </cell>
          <cell r="B99" t="str">
            <v>var_op</v>
          </cell>
          <cell r="C99">
            <v>4410</v>
          </cell>
          <cell r="D99">
            <v>4219</v>
          </cell>
          <cell r="E99" t="str">
            <v>dist</v>
          </cell>
          <cell r="F99">
            <v>4764</v>
          </cell>
          <cell r="G99">
            <v>4515</v>
          </cell>
          <cell r="H99" t="str">
            <v>labo</v>
          </cell>
          <cell r="I99">
            <v>3763.08</v>
          </cell>
          <cell r="J99">
            <v>3573</v>
          </cell>
          <cell r="K99" t="str">
            <v>ind_pr</v>
          </cell>
          <cell r="L99">
            <v>4211.45</v>
          </cell>
          <cell r="M99">
            <v>0</v>
          </cell>
          <cell r="N99">
            <v>0</v>
          </cell>
          <cell r="O99" t="e">
            <v>#N/A</v>
          </cell>
          <cell r="P99" t="e">
            <v>#N/A</v>
          </cell>
        </row>
        <row r="100">
          <cell r="A100" t="str">
            <v>Diamante do sul</v>
          </cell>
          <cell r="B100" t="str">
            <v>var_op</v>
          </cell>
          <cell r="C100">
            <v>4410</v>
          </cell>
          <cell r="D100">
            <v>4219</v>
          </cell>
          <cell r="E100" t="str">
            <v>dist</v>
          </cell>
          <cell r="F100">
            <v>4764</v>
          </cell>
          <cell r="G100">
            <v>4515</v>
          </cell>
          <cell r="H100" t="str">
            <v>labo</v>
          </cell>
          <cell r="I100">
            <v>3763.08</v>
          </cell>
          <cell r="J100">
            <v>3573</v>
          </cell>
          <cell r="K100" t="str">
            <v>ind_pr</v>
          </cell>
          <cell r="L100">
            <v>4211.45</v>
          </cell>
          <cell r="M100">
            <v>0</v>
          </cell>
          <cell r="N100">
            <v>0</v>
          </cell>
          <cell r="O100" t="e">
            <v>#N/A</v>
          </cell>
          <cell r="P100" t="e">
            <v>#N/A</v>
          </cell>
        </row>
        <row r="101">
          <cell r="A101" t="str">
            <v>Dois Vizinhos</v>
          </cell>
          <cell r="B101" t="str">
            <v>var_pr</v>
          </cell>
          <cell r="C101">
            <v>4729.62</v>
          </cell>
          <cell r="D101">
            <v>4729.62</v>
          </cell>
          <cell r="E101" t="str">
            <v>dist</v>
          </cell>
          <cell r="F101">
            <v>4764</v>
          </cell>
          <cell r="G101">
            <v>4515</v>
          </cell>
          <cell r="H101" t="str">
            <v>labo</v>
          </cell>
          <cell r="I101">
            <v>3763.08</v>
          </cell>
          <cell r="J101">
            <v>3573</v>
          </cell>
          <cell r="K101" t="str">
            <v>ind_pr</v>
          </cell>
          <cell r="L101">
            <v>4211.45</v>
          </cell>
          <cell r="M101">
            <v>0</v>
          </cell>
          <cell r="N101" t="str">
            <v>hosp_sudpr</v>
          </cell>
          <cell r="O101">
            <v>1760</v>
          </cell>
          <cell r="P101">
            <v>0</v>
          </cell>
        </row>
        <row r="102">
          <cell r="A102" t="str">
            <v>Douradina</v>
          </cell>
          <cell r="B102" t="str">
            <v>var_pr</v>
          </cell>
          <cell r="C102">
            <v>4729.62</v>
          </cell>
          <cell r="D102">
            <v>4729.62</v>
          </cell>
          <cell r="E102" t="str">
            <v>dist</v>
          </cell>
          <cell r="F102">
            <v>4764</v>
          </cell>
          <cell r="G102">
            <v>4515</v>
          </cell>
          <cell r="H102" t="str">
            <v>labo</v>
          </cell>
          <cell r="I102">
            <v>3763.08</v>
          </cell>
          <cell r="J102">
            <v>3573</v>
          </cell>
          <cell r="K102" t="str">
            <v>ind_pr</v>
          </cell>
          <cell r="L102">
            <v>4211.45</v>
          </cell>
          <cell r="M102">
            <v>0</v>
          </cell>
          <cell r="N102" t="str">
            <v>hosp_umu</v>
          </cell>
          <cell r="O102">
            <v>2428.5500000000002</v>
          </cell>
          <cell r="P102">
            <v>0</v>
          </cell>
        </row>
        <row r="103">
          <cell r="A103" t="str">
            <v>Doutor Camargo</v>
          </cell>
          <cell r="B103" t="str">
            <v>var_pr</v>
          </cell>
          <cell r="C103">
            <v>4729.62</v>
          </cell>
          <cell r="D103">
            <v>4729.62</v>
          </cell>
          <cell r="E103" t="str">
            <v>dist</v>
          </cell>
          <cell r="F103">
            <v>4764</v>
          </cell>
          <cell r="G103">
            <v>4515</v>
          </cell>
          <cell r="H103" t="str">
            <v>labo</v>
          </cell>
          <cell r="I103">
            <v>3763.08</v>
          </cell>
          <cell r="J103">
            <v>3573</v>
          </cell>
          <cell r="K103" t="str">
            <v>ind_pr</v>
          </cell>
          <cell r="L103">
            <v>4211.45</v>
          </cell>
          <cell r="M103">
            <v>0</v>
          </cell>
          <cell r="N103" t="str">
            <v>hosp_mg</v>
          </cell>
          <cell r="O103">
            <v>3888.38</v>
          </cell>
          <cell r="P103">
            <v>0</v>
          </cell>
        </row>
        <row r="104">
          <cell r="A104" t="str">
            <v>Doutor Ulysses</v>
          </cell>
          <cell r="B104" t="str">
            <v>var_pr</v>
          </cell>
          <cell r="C104">
            <v>4729.62</v>
          </cell>
          <cell r="D104">
            <v>4729.62</v>
          </cell>
          <cell r="E104" t="str">
            <v>dist</v>
          </cell>
          <cell r="F104">
            <v>4764</v>
          </cell>
          <cell r="G104">
            <v>4515</v>
          </cell>
          <cell r="H104" t="str">
            <v>labo</v>
          </cell>
          <cell r="I104">
            <v>3763.08</v>
          </cell>
          <cell r="J104">
            <v>3573</v>
          </cell>
          <cell r="K104" t="str">
            <v>ind_pr</v>
          </cell>
          <cell r="L104">
            <v>4211.45</v>
          </cell>
          <cell r="M104">
            <v>0</v>
          </cell>
          <cell r="N104">
            <v>0</v>
          </cell>
          <cell r="O104" t="e">
            <v>#N/A</v>
          </cell>
          <cell r="P104" t="e">
            <v>#N/A</v>
          </cell>
        </row>
        <row r="105">
          <cell r="A105" t="str">
            <v>Eneas Marques</v>
          </cell>
          <cell r="B105" t="str">
            <v>var_pr</v>
          </cell>
          <cell r="C105">
            <v>4729.62</v>
          </cell>
          <cell r="D105">
            <v>4729.62</v>
          </cell>
          <cell r="E105" t="str">
            <v>dist</v>
          </cell>
          <cell r="F105">
            <v>4764</v>
          </cell>
          <cell r="G105">
            <v>4515</v>
          </cell>
          <cell r="H105" t="str">
            <v>labo</v>
          </cell>
          <cell r="I105">
            <v>3763.08</v>
          </cell>
          <cell r="J105">
            <v>3573</v>
          </cell>
          <cell r="K105" t="str">
            <v>ind_pr</v>
          </cell>
          <cell r="L105">
            <v>4211.45</v>
          </cell>
          <cell r="M105">
            <v>0</v>
          </cell>
          <cell r="N105" t="str">
            <v>hosp_sudpr</v>
          </cell>
          <cell r="O105">
            <v>1760</v>
          </cell>
          <cell r="P105">
            <v>0</v>
          </cell>
        </row>
        <row r="106">
          <cell r="A106" t="str">
            <v>Engenheiro Beltrao</v>
          </cell>
          <cell r="B106" t="str">
            <v>var_pr</v>
          </cell>
          <cell r="C106">
            <v>4729.62</v>
          </cell>
          <cell r="D106">
            <v>4729.62</v>
          </cell>
          <cell r="E106" t="str">
            <v>dist</v>
          </cell>
          <cell r="F106">
            <v>4764</v>
          </cell>
          <cell r="G106">
            <v>4515</v>
          </cell>
          <cell r="H106" t="str">
            <v>labo</v>
          </cell>
          <cell r="I106">
            <v>3763.08</v>
          </cell>
          <cell r="J106">
            <v>3573</v>
          </cell>
          <cell r="K106" t="str">
            <v>ind_pr</v>
          </cell>
          <cell r="L106">
            <v>4211.45</v>
          </cell>
          <cell r="M106">
            <v>0</v>
          </cell>
          <cell r="N106" t="str">
            <v>hosp_cm</v>
          </cell>
          <cell r="O106">
            <v>4133.2</v>
          </cell>
          <cell r="P106">
            <v>0</v>
          </cell>
        </row>
        <row r="107">
          <cell r="A107" t="str">
            <v>Entre Rios do Oeste</v>
          </cell>
          <cell r="B107" t="str">
            <v>var_op</v>
          </cell>
          <cell r="C107">
            <v>4410</v>
          </cell>
          <cell r="D107">
            <v>4219</v>
          </cell>
          <cell r="E107" t="str">
            <v>dist</v>
          </cell>
          <cell r="F107">
            <v>4764</v>
          </cell>
          <cell r="G107">
            <v>4515</v>
          </cell>
          <cell r="H107" t="str">
            <v>labo</v>
          </cell>
          <cell r="I107">
            <v>3763.08</v>
          </cell>
          <cell r="J107">
            <v>3573</v>
          </cell>
          <cell r="K107" t="str">
            <v>ind_pr</v>
          </cell>
          <cell r="L107">
            <v>4211.45</v>
          </cell>
          <cell r="M107">
            <v>0</v>
          </cell>
          <cell r="N107">
            <v>0</v>
          </cell>
          <cell r="O107" t="e">
            <v>#N/A</v>
          </cell>
          <cell r="P107" t="e">
            <v>#N/A</v>
          </cell>
        </row>
        <row r="108">
          <cell r="A108" t="str">
            <v>Esperança Nova</v>
          </cell>
          <cell r="B108" t="str">
            <v>var_pr</v>
          </cell>
          <cell r="C108">
            <v>4729.62</v>
          </cell>
          <cell r="D108">
            <v>4729.62</v>
          </cell>
          <cell r="E108" t="str">
            <v>dist</v>
          </cell>
          <cell r="F108">
            <v>4764</v>
          </cell>
          <cell r="G108">
            <v>4515</v>
          </cell>
          <cell r="H108" t="str">
            <v>labo</v>
          </cell>
          <cell r="I108">
            <v>3763.08</v>
          </cell>
          <cell r="J108">
            <v>3573</v>
          </cell>
          <cell r="K108" t="str">
            <v>ind_pr</v>
          </cell>
          <cell r="L108">
            <v>4211.45</v>
          </cell>
          <cell r="M108">
            <v>0</v>
          </cell>
          <cell r="N108">
            <v>0</v>
          </cell>
          <cell r="O108" t="e">
            <v>#N/A</v>
          </cell>
          <cell r="P108" t="e">
            <v>#N/A</v>
          </cell>
        </row>
        <row r="109">
          <cell r="A109" t="str">
            <v>Espigao Alto do Iguaçu</v>
          </cell>
          <cell r="B109" t="str">
            <v>var_op</v>
          </cell>
          <cell r="C109">
            <v>4410</v>
          </cell>
          <cell r="D109">
            <v>4219</v>
          </cell>
          <cell r="E109" t="str">
            <v>dist</v>
          </cell>
          <cell r="F109">
            <v>4764</v>
          </cell>
          <cell r="G109">
            <v>4515</v>
          </cell>
          <cell r="H109" t="str">
            <v>labo</v>
          </cell>
          <cell r="I109">
            <v>3763.08</v>
          </cell>
          <cell r="J109">
            <v>3573</v>
          </cell>
          <cell r="K109" t="str">
            <v>ind_pr</v>
          </cell>
          <cell r="L109">
            <v>4211.45</v>
          </cell>
          <cell r="M109">
            <v>0</v>
          </cell>
          <cell r="N109" t="str">
            <v>hosp_co</v>
          </cell>
          <cell r="O109">
            <v>3036.29</v>
          </cell>
          <cell r="P109">
            <v>0</v>
          </cell>
        </row>
        <row r="110">
          <cell r="A110" t="str">
            <v>Farol</v>
          </cell>
          <cell r="B110" t="str">
            <v>var_pr</v>
          </cell>
          <cell r="C110">
            <v>4729.62</v>
          </cell>
          <cell r="D110">
            <v>4729.62</v>
          </cell>
          <cell r="E110" t="str">
            <v>dist</v>
          </cell>
          <cell r="F110">
            <v>4764</v>
          </cell>
          <cell r="G110">
            <v>4515</v>
          </cell>
          <cell r="H110" t="str">
            <v>labo</v>
          </cell>
          <cell r="I110">
            <v>3763.08</v>
          </cell>
          <cell r="J110">
            <v>3573</v>
          </cell>
          <cell r="K110" t="str">
            <v>ind_pr</v>
          </cell>
          <cell r="L110">
            <v>4211.45</v>
          </cell>
          <cell r="M110">
            <v>0</v>
          </cell>
          <cell r="N110" t="str">
            <v>hosp_cm</v>
          </cell>
          <cell r="O110">
            <v>4133.2</v>
          </cell>
          <cell r="P110">
            <v>0</v>
          </cell>
        </row>
        <row r="111">
          <cell r="A111" t="str">
            <v>Faxinal</v>
          </cell>
          <cell r="B111" t="str">
            <v>var_ld</v>
          </cell>
          <cell r="C111">
            <v>4750</v>
          </cell>
          <cell r="D111">
            <v>4527</v>
          </cell>
          <cell r="E111" t="str">
            <v>dist</v>
          </cell>
          <cell r="F111">
            <v>4764</v>
          </cell>
          <cell r="G111">
            <v>4515</v>
          </cell>
          <cell r="H111" t="str">
            <v>labo</v>
          </cell>
          <cell r="I111">
            <v>3763.08</v>
          </cell>
          <cell r="J111">
            <v>3573</v>
          </cell>
          <cell r="K111" t="str">
            <v>ind_pr</v>
          </cell>
          <cell r="L111">
            <v>4211.45</v>
          </cell>
          <cell r="M111">
            <v>0</v>
          </cell>
          <cell r="N111">
            <v>0</v>
          </cell>
          <cell r="O111" t="e">
            <v>#N/A</v>
          </cell>
          <cell r="P111" t="e">
            <v>#N/A</v>
          </cell>
        </row>
        <row r="112">
          <cell r="A112" t="str">
            <v>Fazenda Rio Grande</v>
          </cell>
          <cell r="B112" t="str">
            <v>var_pr</v>
          </cell>
          <cell r="C112">
            <v>4729.62</v>
          </cell>
          <cell r="D112">
            <v>4729.62</v>
          </cell>
          <cell r="E112" t="str">
            <v>dist</v>
          </cell>
          <cell r="F112">
            <v>4764</v>
          </cell>
          <cell r="G112">
            <v>4515</v>
          </cell>
          <cell r="H112" t="str">
            <v>labo</v>
          </cell>
          <cell r="I112">
            <v>3763.08</v>
          </cell>
          <cell r="J112">
            <v>3573</v>
          </cell>
          <cell r="K112" t="str">
            <v>ind_pr</v>
          </cell>
          <cell r="L112">
            <v>4211.45</v>
          </cell>
          <cell r="M112">
            <v>0</v>
          </cell>
          <cell r="N112">
            <v>0</v>
          </cell>
          <cell r="O112" t="e">
            <v>#N/A</v>
          </cell>
          <cell r="P112" t="e">
            <v>#N/A</v>
          </cell>
        </row>
        <row r="113">
          <cell r="A113" t="str">
            <v>Fenix</v>
          </cell>
          <cell r="B113" t="str">
            <v>var_pr</v>
          </cell>
          <cell r="C113">
            <v>4729.62</v>
          </cell>
          <cell r="D113">
            <v>4729.62</v>
          </cell>
          <cell r="E113" t="str">
            <v>dist</v>
          </cell>
          <cell r="F113">
            <v>4764</v>
          </cell>
          <cell r="G113">
            <v>4515</v>
          </cell>
          <cell r="H113" t="str">
            <v>labo</v>
          </cell>
          <cell r="I113">
            <v>3763.08</v>
          </cell>
          <cell r="J113">
            <v>3573</v>
          </cell>
          <cell r="K113" t="str">
            <v>ind_pr</v>
          </cell>
          <cell r="L113">
            <v>4211.45</v>
          </cell>
          <cell r="M113">
            <v>0</v>
          </cell>
          <cell r="N113" t="str">
            <v>hosp_cm</v>
          </cell>
          <cell r="O113">
            <v>4133.2</v>
          </cell>
          <cell r="P113">
            <v>0</v>
          </cell>
        </row>
        <row r="114">
          <cell r="A114" t="str">
            <v>Fernandes Pinheiro</v>
          </cell>
          <cell r="B114" t="str">
            <v>var_pr</v>
          </cell>
          <cell r="C114">
            <v>4729.62</v>
          </cell>
          <cell r="D114">
            <v>4729.62</v>
          </cell>
          <cell r="E114" t="str">
            <v>dist</v>
          </cell>
          <cell r="F114">
            <v>4764</v>
          </cell>
          <cell r="G114">
            <v>4515</v>
          </cell>
          <cell r="H114" t="str">
            <v>labo</v>
          </cell>
          <cell r="I114">
            <v>3763.08</v>
          </cell>
          <cell r="J114">
            <v>3573</v>
          </cell>
          <cell r="K114" t="str">
            <v>ind_pr</v>
          </cell>
          <cell r="L114">
            <v>4211.45</v>
          </cell>
          <cell r="M114">
            <v>0</v>
          </cell>
          <cell r="N114">
            <v>0</v>
          </cell>
          <cell r="O114" t="e">
            <v>#N/A</v>
          </cell>
          <cell r="P114" t="e">
            <v>#N/A</v>
          </cell>
        </row>
        <row r="115">
          <cell r="A115" t="str">
            <v>Figueira</v>
          </cell>
          <cell r="B115" t="str">
            <v>var_pr</v>
          </cell>
          <cell r="C115">
            <v>4729.62</v>
          </cell>
          <cell r="D115">
            <v>4729.62</v>
          </cell>
          <cell r="E115" t="str">
            <v>dist</v>
          </cell>
          <cell r="F115">
            <v>4764</v>
          </cell>
          <cell r="G115">
            <v>4515</v>
          </cell>
          <cell r="H115" t="str">
            <v>labo</v>
          </cell>
          <cell r="I115">
            <v>3763.08</v>
          </cell>
          <cell r="J115">
            <v>3573</v>
          </cell>
          <cell r="K115" t="str">
            <v>ind_pr</v>
          </cell>
          <cell r="L115">
            <v>4211.45</v>
          </cell>
          <cell r="M115">
            <v>0</v>
          </cell>
          <cell r="N115" t="str">
            <v>hosp_nor</v>
          </cell>
          <cell r="O115">
            <v>1760</v>
          </cell>
          <cell r="P115">
            <v>0</v>
          </cell>
        </row>
        <row r="116">
          <cell r="A116" t="str">
            <v>Flor da Serra do Sul</v>
          </cell>
          <cell r="B116" t="str">
            <v>var_pr</v>
          </cell>
          <cell r="C116">
            <v>4729.62</v>
          </cell>
          <cell r="D116">
            <v>4729.62</v>
          </cell>
          <cell r="E116" t="str">
            <v>dist</v>
          </cell>
          <cell r="F116">
            <v>4764</v>
          </cell>
          <cell r="G116">
            <v>4515</v>
          </cell>
          <cell r="H116" t="str">
            <v>labo</v>
          </cell>
          <cell r="I116">
            <v>3763.08</v>
          </cell>
          <cell r="J116">
            <v>3573</v>
          </cell>
          <cell r="K116" t="str">
            <v>ind_pr</v>
          </cell>
          <cell r="L116">
            <v>4211.45</v>
          </cell>
          <cell r="M116">
            <v>0</v>
          </cell>
          <cell r="N116" t="str">
            <v>hosp_sudpr</v>
          </cell>
          <cell r="O116">
            <v>1760</v>
          </cell>
          <cell r="P116">
            <v>0</v>
          </cell>
        </row>
        <row r="117">
          <cell r="A117" t="str">
            <v>Florai</v>
          </cell>
          <cell r="B117" t="str">
            <v>var_pr</v>
          </cell>
          <cell r="C117">
            <v>4729.62</v>
          </cell>
          <cell r="D117">
            <v>4729.62</v>
          </cell>
          <cell r="E117" t="str">
            <v>dist</v>
          </cell>
          <cell r="F117">
            <v>4764</v>
          </cell>
          <cell r="G117">
            <v>4515</v>
          </cell>
          <cell r="H117" t="str">
            <v>labo</v>
          </cell>
          <cell r="I117">
            <v>3763.08</v>
          </cell>
          <cell r="J117">
            <v>3573</v>
          </cell>
          <cell r="K117" t="str">
            <v>ind_pr</v>
          </cell>
          <cell r="L117">
            <v>4211.45</v>
          </cell>
          <cell r="M117">
            <v>0</v>
          </cell>
          <cell r="N117" t="str">
            <v>hosp_mg</v>
          </cell>
          <cell r="O117">
            <v>3888.38</v>
          </cell>
          <cell r="P117">
            <v>0</v>
          </cell>
        </row>
        <row r="118">
          <cell r="A118" t="str">
            <v>Floresta</v>
          </cell>
          <cell r="B118" t="str">
            <v>var_pr</v>
          </cell>
          <cell r="C118">
            <v>4729.62</v>
          </cell>
          <cell r="D118">
            <v>4729.62</v>
          </cell>
          <cell r="E118" t="str">
            <v>dist</v>
          </cell>
          <cell r="F118">
            <v>4764</v>
          </cell>
          <cell r="G118">
            <v>4515</v>
          </cell>
          <cell r="H118" t="str">
            <v>labo</v>
          </cell>
          <cell r="I118">
            <v>3763.08</v>
          </cell>
          <cell r="J118">
            <v>3573</v>
          </cell>
          <cell r="K118" t="str">
            <v>ind_pr</v>
          </cell>
          <cell r="L118">
            <v>4211.45</v>
          </cell>
          <cell r="M118">
            <v>0</v>
          </cell>
          <cell r="N118" t="str">
            <v>hosp_mg</v>
          </cell>
          <cell r="O118">
            <v>3888.38</v>
          </cell>
          <cell r="P118">
            <v>0</v>
          </cell>
        </row>
        <row r="119">
          <cell r="A119" t="str">
            <v>Florestopolis</v>
          </cell>
          <cell r="B119" t="str">
            <v>var_ld</v>
          </cell>
          <cell r="C119">
            <v>4750</v>
          </cell>
          <cell r="D119">
            <v>4527</v>
          </cell>
          <cell r="E119" t="str">
            <v>dist</v>
          </cell>
          <cell r="F119">
            <v>4764</v>
          </cell>
          <cell r="G119">
            <v>4515</v>
          </cell>
          <cell r="H119" t="str">
            <v>labo</v>
          </cell>
          <cell r="I119">
            <v>3763.08</v>
          </cell>
          <cell r="J119">
            <v>3573</v>
          </cell>
          <cell r="K119" t="str">
            <v>ind_pr</v>
          </cell>
          <cell r="L119">
            <v>4211.45</v>
          </cell>
          <cell r="M119">
            <v>0</v>
          </cell>
          <cell r="N119">
            <v>0</v>
          </cell>
          <cell r="O119" t="e">
            <v>#N/A</v>
          </cell>
          <cell r="P119" t="e">
            <v>#N/A</v>
          </cell>
        </row>
        <row r="120">
          <cell r="A120" t="str">
            <v>Florida</v>
          </cell>
          <cell r="B120" t="str">
            <v>var_pr</v>
          </cell>
          <cell r="C120">
            <v>4729.62</v>
          </cell>
          <cell r="D120">
            <v>4729.62</v>
          </cell>
          <cell r="E120" t="str">
            <v>dist</v>
          </cell>
          <cell r="F120">
            <v>4764</v>
          </cell>
          <cell r="G120">
            <v>4515</v>
          </cell>
          <cell r="H120" t="str">
            <v>labo</v>
          </cell>
          <cell r="I120">
            <v>3763.08</v>
          </cell>
          <cell r="J120">
            <v>3573</v>
          </cell>
          <cell r="K120" t="str">
            <v>ind_pr</v>
          </cell>
          <cell r="L120">
            <v>4211.45</v>
          </cell>
          <cell r="M120">
            <v>0</v>
          </cell>
          <cell r="N120" t="str">
            <v>hosp_mg</v>
          </cell>
          <cell r="O120">
            <v>3888.38</v>
          </cell>
          <cell r="P120">
            <v>0</v>
          </cell>
        </row>
        <row r="121">
          <cell r="A121" t="str">
            <v>Formosa do Oeste</v>
          </cell>
          <cell r="B121" t="str">
            <v>var_op</v>
          </cell>
          <cell r="C121">
            <v>4410</v>
          </cell>
          <cell r="D121">
            <v>4219</v>
          </cell>
          <cell r="E121" t="str">
            <v>dist</v>
          </cell>
          <cell r="F121">
            <v>4764</v>
          </cell>
          <cell r="G121">
            <v>4515</v>
          </cell>
          <cell r="H121" t="str">
            <v>labo</v>
          </cell>
          <cell r="I121">
            <v>3763.08</v>
          </cell>
          <cell r="J121">
            <v>3573</v>
          </cell>
          <cell r="K121" t="str">
            <v>ind_pr</v>
          </cell>
          <cell r="L121">
            <v>4211.45</v>
          </cell>
          <cell r="M121">
            <v>0</v>
          </cell>
          <cell r="N121">
            <v>0</v>
          </cell>
          <cell r="O121" t="e">
            <v>#N/A</v>
          </cell>
          <cell r="P121" t="e">
            <v>#N/A</v>
          </cell>
        </row>
        <row r="122">
          <cell r="A122" t="str">
            <v>Foz do Iguaçu</v>
          </cell>
          <cell r="B122" t="str">
            <v>var_op</v>
          </cell>
          <cell r="C122">
            <v>4410</v>
          </cell>
          <cell r="D122">
            <v>4219</v>
          </cell>
          <cell r="E122" t="str">
            <v>dist</v>
          </cell>
          <cell r="F122">
            <v>4764</v>
          </cell>
          <cell r="G122">
            <v>4515</v>
          </cell>
          <cell r="H122" t="str">
            <v>labo</v>
          </cell>
          <cell r="I122">
            <v>3763.08</v>
          </cell>
          <cell r="J122">
            <v>3573</v>
          </cell>
          <cell r="K122" t="str">
            <v>ind_pr</v>
          </cell>
          <cell r="L122">
            <v>4211.45</v>
          </cell>
          <cell r="M122">
            <v>0</v>
          </cell>
          <cell r="N122" t="str">
            <v>hosp_pr</v>
          </cell>
          <cell r="O122">
            <v>4567</v>
          </cell>
          <cell r="P122">
            <v>0</v>
          </cell>
        </row>
        <row r="123">
          <cell r="A123" t="str">
            <v>Foz do Jordao</v>
          </cell>
          <cell r="B123" t="str">
            <v>var_pr</v>
          </cell>
          <cell r="C123">
            <v>4729.62</v>
          </cell>
          <cell r="D123">
            <v>4729.62</v>
          </cell>
          <cell r="E123" t="str">
            <v>dist</v>
          </cell>
          <cell r="F123">
            <v>4764</v>
          </cell>
          <cell r="G123">
            <v>4515</v>
          </cell>
          <cell r="H123" t="str">
            <v>labo</v>
          </cell>
          <cell r="I123">
            <v>3763.08</v>
          </cell>
          <cell r="J123">
            <v>3573</v>
          </cell>
          <cell r="K123" t="str">
            <v>ind_pr</v>
          </cell>
          <cell r="L123">
            <v>4211.45</v>
          </cell>
          <cell r="M123">
            <v>0</v>
          </cell>
          <cell r="N123" t="str">
            <v>hosp_co</v>
          </cell>
          <cell r="O123">
            <v>3036.29</v>
          </cell>
          <cell r="P123">
            <v>0</v>
          </cell>
        </row>
        <row r="124">
          <cell r="A124" t="str">
            <v>Francisco Alves</v>
          </cell>
          <cell r="B124" t="str">
            <v>var_pr</v>
          </cell>
          <cell r="C124">
            <v>4729.62</v>
          </cell>
          <cell r="D124">
            <v>4729.62</v>
          </cell>
          <cell r="E124" t="str">
            <v>dist</v>
          </cell>
          <cell r="F124">
            <v>4764</v>
          </cell>
          <cell r="G124">
            <v>4515</v>
          </cell>
          <cell r="H124" t="str">
            <v>labo</v>
          </cell>
          <cell r="I124">
            <v>3763.08</v>
          </cell>
          <cell r="J124">
            <v>3573</v>
          </cell>
          <cell r="K124" t="str">
            <v>ind_pr</v>
          </cell>
          <cell r="L124">
            <v>4211.45</v>
          </cell>
          <cell r="M124">
            <v>0</v>
          </cell>
          <cell r="N124" t="str">
            <v>hosp_umu</v>
          </cell>
          <cell r="O124">
            <v>2428.5500000000002</v>
          </cell>
          <cell r="P124">
            <v>0</v>
          </cell>
        </row>
        <row r="125">
          <cell r="A125" t="str">
            <v>Francisco Beltrao</v>
          </cell>
          <cell r="B125" t="str">
            <v>var_pr</v>
          </cell>
          <cell r="C125">
            <v>4729.62</v>
          </cell>
          <cell r="D125">
            <v>4729.62</v>
          </cell>
          <cell r="E125" t="str">
            <v>dist</v>
          </cell>
          <cell r="F125">
            <v>4764</v>
          </cell>
          <cell r="G125">
            <v>4515</v>
          </cell>
          <cell r="H125" t="str">
            <v>labo</v>
          </cell>
          <cell r="I125">
            <v>3763.08</v>
          </cell>
          <cell r="J125">
            <v>3573</v>
          </cell>
          <cell r="K125" t="str">
            <v>ind_pr</v>
          </cell>
          <cell r="L125">
            <v>4211.45</v>
          </cell>
          <cell r="M125">
            <v>0</v>
          </cell>
          <cell r="N125" t="str">
            <v>hosp_sudpr</v>
          </cell>
          <cell r="O125">
            <v>1760</v>
          </cell>
          <cell r="P125">
            <v>0</v>
          </cell>
        </row>
        <row r="126">
          <cell r="A126" t="str">
            <v>General Carneiro</v>
          </cell>
          <cell r="B126" t="str">
            <v>var_pr</v>
          </cell>
          <cell r="C126">
            <v>4729.62</v>
          </cell>
          <cell r="D126">
            <v>4729.62</v>
          </cell>
          <cell r="E126" t="str">
            <v>dist</v>
          </cell>
          <cell r="F126">
            <v>4764</v>
          </cell>
          <cell r="G126">
            <v>4515</v>
          </cell>
          <cell r="H126" t="str">
            <v>labo</v>
          </cell>
          <cell r="I126">
            <v>3763.08</v>
          </cell>
          <cell r="J126">
            <v>3573</v>
          </cell>
          <cell r="K126" t="str">
            <v>ind_pr</v>
          </cell>
          <cell r="L126">
            <v>4211.45</v>
          </cell>
          <cell r="M126">
            <v>0</v>
          </cell>
          <cell r="N126">
            <v>0</v>
          </cell>
          <cell r="O126" t="e">
            <v>#N/A</v>
          </cell>
          <cell r="P126" t="e">
            <v>#N/A</v>
          </cell>
        </row>
        <row r="127">
          <cell r="A127" t="str">
            <v>Godoy Moreira</v>
          </cell>
          <cell r="B127" t="str">
            <v>var_pr</v>
          </cell>
          <cell r="C127">
            <v>4729.62</v>
          </cell>
          <cell r="D127">
            <v>4729.62</v>
          </cell>
          <cell r="E127" t="str">
            <v>dist</v>
          </cell>
          <cell r="F127">
            <v>4764</v>
          </cell>
          <cell r="G127">
            <v>4515</v>
          </cell>
          <cell r="H127" t="str">
            <v>labo</v>
          </cell>
          <cell r="I127">
            <v>3763.08</v>
          </cell>
          <cell r="J127">
            <v>3573</v>
          </cell>
          <cell r="K127" t="str">
            <v>ind_pr</v>
          </cell>
          <cell r="L127">
            <v>4211.45</v>
          </cell>
          <cell r="M127">
            <v>0</v>
          </cell>
          <cell r="N127">
            <v>0</v>
          </cell>
          <cell r="O127" t="e">
            <v>#N/A</v>
          </cell>
          <cell r="P127" t="e">
            <v>#N/A</v>
          </cell>
        </row>
        <row r="128">
          <cell r="A128" t="str">
            <v>Goioere</v>
          </cell>
          <cell r="B128" t="str">
            <v>var_pr</v>
          </cell>
          <cell r="C128">
            <v>4729.62</v>
          </cell>
          <cell r="D128">
            <v>4729.62</v>
          </cell>
          <cell r="E128" t="str">
            <v>dist</v>
          </cell>
          <cell r="F128">
            <v>4764</v>
          </cell>
          <cell r="G128">
            <v>4515</v>
          </cell>
          <cell r="H128" t="str">
            <v>labo</v>
          </cell>
          <cell r="I128">
            <v>3763.08</v>
          </cell>
          <cell r="J128">
            <v>3573</v>
          </cell>
          <cell r="K128" t="str">
            <v>ind_pr</v>
          </cell>
          <cell r="L128">
            <v>4211.45</v>
          </cell>
          <cell r="M128">
            <v>0</v>
          </cell>
          <cell r="N128" t="str">
            <v>hosp_cm</v>
          </cell>
          <cell r="O128">
            <v>4133.2</v>
          </cell>
          <cell r="P128">
            <v>0</v>
          </cell>
        </row>
        <row r="129">
          <cell r="A129" t="str">
            <v>Goioxim</v>
          </cell>
          <cell r="B129" t="str">
            <v>var_pr</v>
          </cell>
          <cell r="C129">
            <v>4729.62</v>
          </cell>
          <cell r="D129">
            <v>4729.62</v>
          </cell>
          <cell r="E129" t="str">
            <v>dist</v>
          </cell>
          <cell r="F129">
            <v>4764</v>
          </cell>
          <cell r="G129">
            <v>4515</v>
          </cell>
          <cell r="H129" t="str">
            <v>labo</v>
          </cell>
          <cell r="I129">
            <v>3763.08</v>
          </cell>
          <cell r="J129">
            <v>3573</v>
          </cell>
          <cell r="K129" t="str">
            <v>ind_pr</v>
          </cell>
          <cell r="L129">
            <v>4211.45</v>
          </cell>
          <cell r="M129">
            <v>0</v>
          </cell>
          <cell r="N129" t="str">
            <v>hosp_co</v>
          </cell>
          <cell r="O129">
            <v>3036.29</v>
          </cell>
          <cell r="P129">
            <v>0</v>
          </cell>
        </row>
        <row r="130">
          <cell r="A130" t="str">
            <v>Grandes Rios</v>
          </cell>
          <cell r="B130" t="str">
            <v>var_pr</v>
          </cell>
          <cell r="C130">
            <v>4729.62</v>
          </cell>
          <cell r="D130">
            <v>4729.62</v>
          </cell>
          <cell r="E130" t="str">
            <v>dist</v>
          </cell>
          <cell r="F130">
            <v>4764</v>
          </cell>
          <cell r="G130">
            <v>4515</v>
          </cell>
          <cell r="H130" t="str">
            <v>labo</v>
          </cell>
          <cell r="I130">
            <v>3763.08</v>
          </cell>
          <cell r="J130">
            <v>3573</v>
          </cell>
          <cell r="K130" t="str">
            <v>ind_pr</v>
          </cell>
          <cell r="L130">
            <v>4211.45</v>
          </cell>
          <cell r="M130">
            <v>0</v>
          </cell>
          <cell r="N130">
            <v>0</v>
          </cell>
          <cell r="O130" t="e">
            <v>#N/A</v>
          </cell>
          <cell r="P130" t="e">
            <v>#N/A</v>
          </cell>
        </row>
        <row r="131">
          <cell r="A131" t="str">
            <v>Guaira</v>
          </cell>
          <cell r="B131" t="str">
            <v>var_op</v>
          </cell>
          <cell r="C131">
            <v>4410</v>
          </cell>
          <cell r="D131">
            <v>4219</v>
          </cell>
          <cell r="E131" t="str">
            <v>dist</v>
          </cell>
          <cell r="F131">
            <v>4764</v>
          </cell>
          <cell r="G131">
            <v>4515</v>
          </cell>
          <cell r="H131" t="str">
            <v>labo</v>
          </cell>
          <cell r="I131">
            <v>3763.08</v>
          </cell>
          <cell r="J131">
            <v>3573</v>
          </cell>
          <cell r="K131" t="str">
            <v>ind_pr</v>
          </cell>
          <cell r="L131">
            <v>4211.45</v>
          </cell>
          <cell r="M131">
            <v>0</v>
          </cell>
          <cell r="N131" t="str">
            <v>hosp_pr</v>
          </cell>
          <cell r="O131">
            <v>4567</v>
          </cell>
          <cell r="P131">
            <v>0</v>
          </cell>
        </row>
        <row r="132">
          <cell r="A132" t="str">
            <v>Guairaça</v>
          </cell>
          <cell r="B132" t="str">
            <v>var_par</v>
          </cell>
          <cell r="C132">
            <v>4846</v>
          </cell>
          <cell r="D132">
            <v>4846</v>
          </cell>
          <cell r="E132" t="str">
            <v>dist</v>
          </cell>
          <cell r="F132">
            <v>4764</v>
          </cell>
          <cell r="G132">
            <v>4515</v>
          </cell>
          <cell r="H132" t="str">
            <v>labo</v>
          </cell>
          <cell r="I132">
            <v>3763.08</v>
          </cell>
          <cell r="J132">
            <v>3573</v>
          </cell>
          <cell r="K132" t="str">
            <v>ind_pr</v>
          </cell>
          <cell r="L132">
            <v>4211.45</v>
          </cell>
          <cell r="M132">
            <v>0</v>
          </cell>
          <cell r="N132">
            <v>0</v>
          </cell>
          <cell r="O132" t="e">
            <v>#N/A</v>
          </cell>
          <cell r="P132" t="e">
            <v>#N/A</v>
          </cell>
        </row>
        <row r="133">
          <cell r="A133" t="str">
            <v>Guamiranga</v>
          </cell>
          <cell r="B133" t="str">
            <v>var_pr</v>
          </cell>
          <cell r="C133">
            <v>4729.62</v>
          </cell>
          <cell r="D133">
            <v>4729.62</v>
          </cell>
          <cell r="E133" t="str">
            <v>dist</v>
          </cell>
          <cell r="F133">
            <v>4764</v>
          </cell>
          <cell r="G133">
            <v>4515</v>
          </cell>
          <cell r="H133" t="str">
            <v>labo</v>
          </cell>
          <cell r="I133">
            <v>3763.08</v>
          </cell>
          <cell r="J133">
            <v>3573</v>
          </cell>
          <cell r="K133" t="str">
            <v>ind_pr</v>
          </cell>
          <cell r="L133">
            <v>4211.45</v>
          </cell>
          <cell r="M133">
            <v>0</v>
          </cell>
          <cell r="N133">
            <v>0</v>
          </cell>
          <cell r="O133" t="e">
            <v>#N/A</v>
          </cell>
          <cell r="P133" t="e">
            <v>#N/A</v>
          </cell>
        </row>
        <row r="134">
          <cell r="A134" t="str">
            <v>Guapirama</v>
          </cell>
          <cell r="B134" t="str">
            <v>var_sto</v>
          </cell>
          <cell r="C134">
            <v>5030</v>
          </cell>
          <cell r="D134">
            <v>5030</v>
          </cell>
          <cell r="E134" t="str">
            <v>dist</v>
          </cell>
          <cell r="F134">
            <v>4764</v>
          </cell>
          <cell r="G134">
            <v>4515</v>
          </cell>
          <cell r="H134" t="str">
            <v>labo</v>
          </cell>
          <cell r="I134">
            <v>3763.08</v>
          </cell>
          <cell r="J134">
            <v>3573</v>
          </cell>
          <cell r="K134" t="str">
            <v>ind_pr</v>
          </cell>
          <cell r="L134">
            <v>4211.45</v>
          </cell>
          <cell r="M134">
            <v>0</v>
          </cell>
          <cell r="N134" t="str">
            <v>hosp_nor</v>
          </cell>
          <cell r="O134">
            <v>1760</v>
          </cell>
          <cell r="P134">
            <v>0</v>
          </cell>
        </row>
        <row r="135">
          <cell r="A135" t="str">
            <v>Guaporema</v>
          </cell>
          <cell r="B135" t="str">
            <v>var_pr</v>
          </cell>
          <cell r="C135">
            <v>4729.62</v>
          </cell>
          <cell r="D135">
            <v>4729.62</v>
          </cell>
          <cell r="E135" t="str">
            <v>dist</v>
          </cell>
          <cell r="F135">
            <v>4764</v>
          </cell>
          <cell r="G135">
            <v>4515</v>
          </cell>
          <cell r="H135" t="str">
            <v>labo</v>
          </cell>
          <cell r="I135">
            <v>3763.08</v>
          </cell>
          <cell r="J135">
            <v>3573</v>
          </cell>
          <cell r="K135" t="str">
            <v>ind_pr</v>
          </cell>
          <cell r="L135">
            <v>4211.45</v>
          </cell>
          <cell r="M135">
            <v>0</v>
          </cell>
          <cell r="N135" t="str">
            <v>hosp_cia</v>
          </cell>
          <cell r="O135">
            <v>4003.87</v>
          </cell>
          <cell r="P135">
            <v>0</v>
          </cell>
        </row>
        <row r="136">
          <cell r="A136" t="str">
            <v>Guaraci</v>
          </cell>
          <cell r="B136" t="str">
            <v>var_pr</v>
          </cell>
          <cell r="C136">
            <v>4729.62</v>
          </cell>
          <cell r="D136">
            <v>4729.62</v>
          </cell>
          <cell r="E136" t="str">
            <v>dist</v>
          </cell>
          <cell r="F136">
            <v>4764</v>
          </cell>
          <cell r="G136">
            <v>4515</v>
          </cell>
          <cell r="H136" t="str">
            <v>labo</v>
          </cell>
          <cell r="I136">
            <v>3763.08</v>
          </cell>
          <cell r="J136">
            <v>3573</v>
          </cell>
          <cell r="K136" t="str">
            <v>ind_pr</v>
          </cell>
          <cell r="L136">
            <v>4211.45</v>
          </cell>
          <cell r="M136">
            <v>0</v>
          </cell>
          <cell r="N136">
            <v>0</v>
          </cell>
          <cell r="O136" t="e">
            <v>#N/A</v>
          </cell>
          <cell r="P136" t="e">
            <v>#N/A</v>
          </cell>
        </row>
        <row r="137">
          <cell r="A137" t="str">
            <v>Guaraniaçu</v>
          </cell>
          <cell r="B137" t="str">
            <v>var_op</v>
          </cell>
          <cell r="C137">
            <v>4410</v>
          </cell>
          <cell r="D137">
            <v>4219</v>
          </cell>
          <cell r="E137" t="str">
            <v>dist</v>
          </cell>
          <cell r="F137">
            <v>4764</v>
          </cell>
          <cell r="G137">
            <v>4515</v>
          </cell>
          <cell r="H137" t="str">
            <v>labo</v>
          </cell>
          <cell r="I137">
            <v>3763.08</v>
          </cell>
          <cell r="J137">
            <v>3573</v>
          </cell>
          <cell r="K137" t="str">
            <v>ind_pr</v>
          </cell>
          <cell r="L137">
            <v>4211.45</v>
          </cell>
          <cell r="M137">
            <v>0</v>
          </cell>
          <cell r="N137">
            <v>0</v>
          </cell>
          <cell r="O137" t="e">
            <v>#N/A</v>
          </cell>
          <cell r="P137" t="e">
            <v>#N/A</v>
          </cell>
        </row>
        <row r="138">
          <cell r="A138" t="str">
            <v>Guarapuava</v>
          </cell>
          <cell r="B138" t="str">
            <v>var_pr</v>
          </cell>
          <cell r="C138">
            <v>4729.62</v>
          </cell>
          <cell r="D138">
            <v>4729.62</v>
          </cell>
          <cell r="E138" t="str">
            <v>dist</v>
          </cell>
          <cell r="F138">
            <v>4764</v>
          </cell>
          <cell r="G138">
            <v>4515</v>
          </cell>
          <cell r="H138" t="str">
            <v>labo</v>
          </cell>
          <cell r="I138">
            <v>3763.08</v>
          </cell>
          <cell r="J138">
            <v>3573</v>
          </cell>
          <cell r="K138" t="str">
            <v>ind_pr</v>
          </cell>
          <cell r="L138">
            <v>4211.45</v>
          </cell>
          <cell r="M138">
            <v>0</v>
          </cell>
          <cell r="N138" t="str">
            <v>hosp_co</v>
          </cell>
          <cell r="O138">
            <v>3036.29</v>
          </cell>
          <cell r="P138">
            <v>0</v>
          </cell>
        </row>
        <row r="139">
          <cell r="A139" t="str">
            <v>Guaraqueçaba</v>
          </cell>
          <cell r="B139" t="str">
            <v>var_pr</v>
          </cell>
          <cell r="C139">
            <v>4729.62</v>
          </cell>
          <cell r="D139">
            <v>4729.62</v>
          </cell>
          <cell r="E139" t="str">
            <v>dist</v>
          </cell>
          <cell r="F139">
            <v>4764</v>
          </cell>
          <cell r="G139">
            <v>4515</v>
          </cell>
          <cell r="H139" t="str">
            <v>labo</v>
          </cell>
          <cell r="I139">
            <v>3763.08</v>
          </cell>
          <cell r="J139">
            <v>3573</v>
          </cell>
          <cell r="K139" t="str">
            <v>ind_pr</v>
          </cell>
          <cell r="L139">
            <v>4211.45</v>
          </cell>
          <cell r="M139">
            <v>0</v>
          </cell>
          <cell r="N139" t="str">
            <v>hosp_pr</v>
          </cell>
          <cell r="O139">
            <v>4567</v>
          </cell>
          <cell r="P139">
            <v>0</v>
          </cell>
        </row>
        <row r="140">
          <cell r="A140" t="str">
            <v>Guaratuba</v>
          </cell>
          <cell r="B140" t="str">
            <v>var_pr</v>
          </cell>
          <cell r="C140">
            <v>4729.62</v>
          </cell>
          <cell r="D140">
            <v>4729.62</v>
          </cell>
          <cell r="E140" t="str">
            <v>dist</v>
          </cell>
          <cell r="F140">
            <v>4764</v>
          </cell>
          <cell r="G140">
            <v>4515</v>
          </cell>
          <cell r="H140" t="str">
            <v>labo</v>
          </cell>
          <cell r="I140">
            <v>3763.08</v>
          </cell>
          <cell r="J140">
            <v>3573</v>
          </cell>
          <cell r="K140" t="str">
            <v>ind_pr</v>
          </cell>
          <cell r="L140">
            <v>4211.45</v>
          </cell>
          <cell r="M140">
            <v>0</v>
          </cell>
          <cell r="N140" t="str">
            <v>hosp_pr</v>
          </cell>
          <cell r="O140">
            <v>4567</v>
          </cell>
          <cell r="P140">
            <v>0</v>
          </cell>
        </row>
        <row r="141">
          <cell r="A141" t="str">
            <v>Honorio Serpa</v>
          </cell>
          <cell r="B141" t="str">
            <v>var_pr</v>
          </cell>
          <cell r="C141">
            <v>4729.62</v>
          </cell>
          <cell r="D141">
            <v>4729.62</v>
          </cell>
          <cell r="E141" t="str">
            <v>dist</v>
          </cell>
          <cell r="F141">
            <v>4764</v>
          </cell>
          <cell r="G141">
            <v>4515</v>
          </cell>
          <cell r="H141" t="str">
            <v>labo</v>
          </cell>
          <cell r="I141">
            <v>3763.08</v>
          </cell>
          <cell r="J141">
            <v>3573</v>
          </cell>
          <cell r="K141" t="str">
            <v>ind_pr</v>
          </cell>
          <cell r="L141">
            <v>4211.45</v>
          </cell>
          <cell r="M141">
            <v>0</v>
          </cell>
          <cell r="N141" t="str">
            <v>hosp_pb</v>
          </cell>
          <cell r="O141">
            <v>1760</v>
          </cell>
          <cell r="P141">
            <v>0</v>
          </cell>
        </row>
        <row r="142">
          <cell r="A142" t="str">
            <v>Ibaiti</v>
          </cell>
          <cell r="B142" t="str">
            <v>var_sto</v>
          </cell>
          <cell r="C142">
            <v>5030</v>
          </cell>
          <cell r="D142">
            <v>5030</v>
          </cell>
          <cell r="E142" t="str">
            <v>dist</v>
          </cell>
          <cell r="F142">
            <v>4764</v>
          </cell>
          <cell r="G142">
            <v>4515</v>
          </cell>
          <cell r="H142" t="str">
            <v>labo</v>
          </cell>
          <cell r="I142">
            <v>3763.08</v>
          </cell>
          <cell r="J142">
            <v>3573</v>
          </cell>
          <cell r="K142" t="str">
            <v>ind_pr</v>
          </cell>
          <cell r="L142">
            <v>4211.45</v>
          </cell>
          <cell r="M142">
            <v>0</v>
          </cell>
          <cell r="N142" t="str">
            <v>hosp_nor</v>
          </cell>
          <cell r="O142">
            <v>1760</v>
          </cell>
          <cell r="P142">
            <v>0</v>
          </cell>
        </row>
        <row r="143">
          <cell r="A143" t="str">
            <v>Ibema</v>
          </cell>
          <cell r="B143" t="str">
            <v>var_op</v>
          </cell>
          <cell r="C143">
            <v>4410</v>
          </cell>
          <cell r="D143">
            <v>4219</v>
          </cell>
          <cell r="E143" t="str">
            <v>dist</v>
          </cell>
          <cell r="F143">
            <v>4764</v>
          </cell>
          <cell r="G143">
            <v>4515</v>
          </cell>
          <cell r="H143" t="str">
            <v>labo</v>
          </cell>
          <cell r="I143">
            <v>3763.08</v>
          </cell>
          <cell r="J143">
            <v>3573</v>
          </cell>
          <cell r="K143" t="str">
            <v>ind_pr</v>
          </cell>
          <cell r="L143">
            <v>4211.45</v>
          </cell>
          <cell r="M143">
            <v>0</v>
          </cell>
          <cell r="N143">
            <v>0</v>
          </cell>
          <cell r="O143" t="e">
            <v>#N/A</v>
          </cell>
          <cell r="P143" t="e">
            <v>#N/A</v>
          </cell>
        </row>
        <row r="144">
          <cell r="A144" t="str">
            <v>Ibipora</v>
          </cell>
          <cell r="B144" t="str">
            <v>var_ld</v>
          </cell>
          <cell r="C144">
            <v>4750</v>
          </cell>
          <cell r="D144">
            <v>4527</v>
          </cell>
          <cell r="E144" t="str">
            <v>dist</v>
          </cell>
          <cell r="F144">
            <v>4764</v>
          </cell>
          <cell r="G144">
            <v>4515</v>
          </cell>
          <cell r="H144" t="str">
            <v>labo</v>
          </cell>
          <cell r="I144">
            <v>3763.08</v>
          </cell>
          <cell r="J144">
            <v>3573</v>
          </cell>
          <cell r="K144" t="str">
            <v>ind_nor</v>
          </cell>
          <cell r="L144">
            <v>3446</v>
          </cell>
          <cell r="M144">
            <v>0</v>
          </cell>
          <cell r="N144">
            <v>0</v>
          </cell>
          <cell r="O144" t="e">
            <v>#N/A</v>
          </cell>
          <cell r="P144" t="e">
            <v>#N/A</v>
          </cell>
        </row>
        <row r="145">
          <cell r="A145" t="str">
            <v>Icaraima</v>
          </cell>
          <cell r="B145" t="str">
            <v>var_pr</v>
          </cell>
          <cell r="C145">
            <v>4729.62</v>
          </cell>
          <cell r="D145">
            <v>4729.62</v>
          </cell>
          <cell r="E145" t="str">
            <v>dist</v>
          </cell>
          <cell r="F145">
            <v>4764</v>
          </cell>
          <cell r="G145">
            <v>4515</v>
          </cell>
          <cell r="H145" t="str">
            <v>labo</v>
          </cell>
          <cell r="I145">
            <v>3763.08</v>
          </cell>
          <cell r="J145">
            <v>3573</v>
          </cell>
          <cell r="K145" t="str">
            <v>ind_pr</v>
          </cell>
          <cell r="L145">
            <v>4211.45</v>
          </cell>
          <cell r="M145">
            <v>0</v>
          </cell>
          <cell r="N145" t="str">
            <v>hosp_umu</v>
          </cell>
          <cell r="O145">
            <v>2428.5500000000002</v>
          </cell>
          <cell r="P145">
            <v>0</v>
          </cell>
        </row>
        <row r="146">
          <cell r="A146" t="str">
            <v>Iguaraçu</v>
          </cell>
          <cell r="B146" t="str">
            <v>var_pr</v>
          </cell>
          <cell r="C146">
            <v>4729.62</v>
          </cell>
          <cell r="D146">
            <v>4729.62</v>
          </cell>
          <cell r="E146" t="str">
            <v>dist</v>
          </cell>
          <cell r="F146">
            <v>4764</v>
          </cell>
          <cell r="G146">
            <v>4515</v>
          </cell>
          <cell r="H146" t="str">
            <v>labo</v>
          </cell>
          <cell r="I146">
            <v>3763.08</v>
          </cell>
          <cell r="J146">
            <v>3573</v>
          </cell>
          <cell r="K146" t="str">
            <v>ind_pr</v>
          </cell>
          <cell r="L146">
            <v>4211.45</v>
          </cell>
          <cell r="M146">
            <v>0</v>
          </cell>
          <cell r="N146" t="str">
            <v>hosp_mg</v>
          </cell>
          <cell r="O146">
            <v>3888.38</v>
          </cell>
          <cell r="P146">
            <v>0</v>
          </cell>
        </row>
        <row r="147">
          <cell r="A147" t="str">
            <v>Iguatu</v>
          </cell>
          <cell r="B147" t="str">
            <v>var_op</v>
          </cell>
          <cell r="C147">
            <v>4410</v>
          </cell>
          <cell r="D147">
            <v>4219</v>
          </cell>
          <cell r="E147" t="str">
            <v>dist</v>
          </cell>
          <cell r="F147">
            <v>4764</v>
          </cell>
          <cell r="G147">
            <v>4515</v>
          </cell>
          <cell r="H147" t="str">
            <v>labo</v>
          </cell>
          <cell r="I147">
            <v>3763.08</v>
          </cell>
          <cell r="J147">
            <v>3573</v>
          </cell>
          <cell r="K147" t="str">
            <v>ind_pr</v>
          </cell>
          <cell r="L147">
            <v>4211.45</v>
          </cell>
          <cell r="M147">
            <v>0</v>
          </cell>
          <cell r="N147">
            <v>0</v>
          </cell>
          <cell r="O147" t="e">
            <v>#N/A</v>
          </cell>
          <cell r="P147" t="e">
            <v>#N/A</v>
          </cell>
        </row>
        <row r="148">
          <cell r="A148" t="str">
            <v>Imbau</v>
          </cell>
          <cell r="B148" t="str">
            <v>var_pr</v>
          </cell>
          <cell r="C148">
            <v>4729.62</v>
          </cell>
          <cell r="D148">
            <v>4729.62</v>
          </cell>
          <cell r="E148" t="str">
            <v>dist</v>
          </cell>
          <cell r="F148">
            <v>4764</v>
          </cell>
          <cell r="G148">
            <v>4515</v>
          </cell>
          <cell r="H148" t="str">
            <v>labo</v>
          </cell>
          <cell r="I148">
            <v>3763.08</v>
          </cell>
          <cell r="J148">
            <v>3573</v>
          </cell>
          <cell r="K148" t="str">
            <v>ind_pr</v>
          </cell>
          <cell r="L148">
            <v>4211.45</v>
          </cell>
          <cell r="M148">
            <v>0</v>
          </cell>
          <cell r="N148">
            <v>0</v>
          </cell>
          <cell r="O148" t="e">
            <v>#N/A</v>
          </cell>
          <cell r="P148" t="e">
            <v>#N/A</v>
          </cell>
        </row>
        <row r="149">
          <cell r="A149" t="str">
            <v>Imbituva</v>
          </cell>
          <cell r="B149" t="str">
            <v>var_pr</v>
          </cell>
          <cell r="C149">
            <v>4729.62</v>
          </cell>
          <cell r="D149">
            <v>4729.62</v>
          </cell>
          <cell r="E149" t="str">
            <v>dist</v>
          </cell>
          <cell r="F149">
            <v>4764</v>
          </cell>
          <cell r="G149">
            <v>4515</v>
          </cell>
          <cell r="H149" t="str">
            <v>labo</v>
          </cell>
          <cell r="I149">
            <v>3763.08</v>
          </cell>
          <cell r="J149">
            <v>3573</v>
          </cell>
          <cell r="K149" t="str">
            <v>ind_pr</v>
          </cell>
          <cell r="L149">
            <v>4211.45</v>
          </cell>
          <cell r="M149">
            <v>0</v>
          </cell>
          <cell r="N149">
            <v>0</v>
          </cell>
          <cell r="O149" t="e">
            <v>#N/A</v>
          </cell>
          <cell r="P149" t="e">
            <v>#N/A</v>
          </cell>
        </row>
        <row r="150">
          <cell r="A150" t="str">
            <v>Inacio Martins</v>
          </cell>
          <cell r="B150" t="str">
            <v>var_pr</v>
          </cell>
          <cell r="C150">
            <v>4729.62</v>
          </cell>
          <cell r="D150">
            <v>4729.62</v>
          </cell>
          <cell r="E150" t="str">
            <v>dist</v>
          </cell>
          <cell r="F150">
            <v>4764</v>
          </cell>
          <cell r="G150">
            <v>4515</v>
          </cell>
          <cell r="H150" t="str">
            <v>labo</v>
          </cell>
          <cell r="I150">
            <v>3763.08</v>
          </cell>
          <cell r="J150">
            <v>3573</v>
          </cell>
          <cell r="K150" t="str">
            <v>ind_pr</v>
          </cell>
          <cell r="L150">
            <v>4211.45</v>
          </cell>
          <cell r="M150">
            <v>0</v>
          </cell>
          <cell r="N150">
            <v>0</v>
          </cell>
          <cell r="O150" t="e">
            <v>#N/A</v>
          </cell>
          <cell r="P150" t="e">
            <v>#N/A</v>
          </cell>
        </row>
        <row r="151">
          <cell r="A151" t="str">
            <v>Inaja</v>
          </cell>
          <cell r="B151" t="str">
            <v>var_par</v>
          </cell>
          <cell r="C151">
            <v>4846</v>
          </cell>
          <cell r="D151">
            <v>4846</v>
          </cell>
          <cell r="E151" t="str">
            <v>dist</v>
          </cell>
          <cell r="F151">
            <v>4764</v>
          </cell>
          <cell r="G151">
            <v>4515</v>
          </cell>
          <cell r="H151" t="str">
            <v>labo</v>
          </cell>
          <cell r="I151">
            <v>3763.08</v>
          </cell>
          <cell r="J151">
            <v>3573</v>
          </cell>
          <cell r="K151" t="str">
            <v>ind_pr</v>
          </cell>
          <cell r="L151">
            <v>4211.45</v>
          </cell>
          <cell r="M151">
            <v>0</v>
          </cell>
          <cell r="N151">
            <v>0</v>
          </cell>
          <cell r="O151" t="e">
            <v>#N/A</v>
          </cell>
          <cell r="P151" t="e">
            <v>#N/A</v>
          </cell>
        </row>
        <row r="152">
          <cell r="A152" t="str">
            <v>Indianopolis</v>
          </cell>
          <cell r="B152" t="str">
            <v>var_pr</v>
          </cell>
          <cell r="C152">
            <v>4729.62</v>
          </cell>
          <cell r="D152">
            <v>4729.62</v>
          </cell>
          <cell r="E152" t="str">
            <v>dist</v>
          </cell>
          <cell r="F152">
            <v>4764</v>
          </cell>
          <cell r="G152">
            <v>4515</v>
          </cell>
          <cell r="H152" t="str">
            <v>labo</v>
          </cell>
          <cell r="I152">
            <v>3763.08</v>
          </cell>
          <cell r="J152">
            <v>3573</v>
          </cell>
          <cell r="K152" t="str">
            <v>ind_pr</v>
          </cell>
          <cell r="L152">
            <v>4211.45</v>
          </cell>
          <cell r="M152">
            <v>0</v>
          </cell>
          <cell r="N152" t="str">
            <v>hosp_cia</v>
          </cell>
          <cell r="O152">
            <v>4003.87</v>
          </cell>
          <cell r="P152">
            <v>0</v>
          </cell>
        </row>
        <row r="153">
          <cell r="A153" t="str">
            <v>Ipiranga</v>
          </cell>
          <cell r="B153" t="str">
            <v>var_pr</v>
          </cell>
          <cell r="C153">
            <v>4729.62</v>
          </cell>
          <cell r="D153">
            <v>4729.62</v>
          </cell>
          <cell r="E153" t="str">
            <v>dist</v>
          </cell>
          <cell r="F153">
            <v>4764</v>
          </cell>
          <cell r="G153">
            <v>4515</v>
          </cell>
          <cell r="H153" t="str">
            <v>labo</v>
          </cell>
          <cell r="I153">
            <v>3763.08</v>
          </cell>
          <cell r="J153">
            <v>3573</v>
          </cell>
          <cell r="K153" t="str">
            <v>ind_pr</v>
          </cell>
          <cell r="L153">
            <v>4211.45</v>
          </cell>
          <cell r="M153">
            <v>0</v>
          </cell>
          <cell r="N153">
            <v>0</v>
          </cell>
          <cell r="O153" t="e">
            <v>#N/A</v>
          </cell>
          <cell r="P153" t="e">
            <v>#N/A</v>
          </cell>
        </row>
        <row r="154">
          <cell r="A154" t="str">
            <v>Ipora</v>
          </cell>
          <cell r="B154" t="str">
            <v>var_pr</v>
          </cell>
          <cell r="C154">
            <v>4729.62</v>
          </cell>
          <cell r="D154">
            <v>4729.62</v>
          </cell>
          <cell r="E154" t="str">
            <v>dist</v>
          </cell>
          <cell r="F154">
            <v>4764</v>
          </cell>
          <cell r="G154">
            <v>4515</v>
          </cell>
          <cell r="H154" t="str">
            <v>labo</v>
          </cell>
          <cell r="I154">
            <v>3763.08</v>
          </cell>
          <cell r="J154">
            <v>3573</v>
          </cell>
          <cell r="K154" t="str">
            <v>ind_pr</v>
          </cell>
          <cell r="L154">
            <v>4211.45</v>
          </cell>
          <cell r="M154">
            <v>0</v>
          </cell>
          <cell r="N154" t="str">
            <v>hosp_umu</v>
          </cell>
          <cell r="O154">
            <v>2428.5500000000002</v>
          </cell>
          <cell r="P154">
            <v>0</v>
          </cell>
        </row>
        <row r="155">
          <cell r="A155" t="str">
            <v>Iracema do Oeste</v>
          </cell>
          <cell r="B155" t="str">
            <v>var_op</v>
          </cell>
          <cell r="C155">
            <v>4410</v>
          </cell>
          <cell r="D155">
            <v>4219</v>
          </cell>
          <cell r="E155" t="str">
            <v>dist</v>
          </cell>
          <cell r="F155">
            <v>4764</v>
          </cell>
          <cell r="G155">
            <v>4515</v>
          </cell>
          <cell r="H155" t="str">
            <v>labo</v>
          </cell>
          <cell r="I155">
            <v>3763.08</v>
          </cell>
          <cell r="J155">
            <v>3573</v>
          </cell>
          <cell r="K155" t="str">
            <v>ind_pr</v>
          </cell>
          <cell r="L155">
            <v>4211.45</v>
          </cell>
          <cell r="M155">
            <v>0</v>
          </cell>
          <cell r="N155">
            <v>0</v>
          </cell>
          <cell r="O155" t="e">
            <v>#N/A</v>
          </cell>
          <cell r="P155" t="e">
            <v>#N/A</v>
          </cell>
        </row>
        <row r="156">
          <cell r="A156" t="str">
            <v>Irati</v>
          </cell>
          <cell r="B156" t="str">
            <v>var_pr</v>
          </cell>
          <cell r="C156">
            <v>4729.62</v>
          </cell>
          <cell r="D156">
            <v>4729.62</v>
          </cell>
          <cell r="E156" t="str">
            <v>dist</v>
          </cell>
          <cell r="F156">
            <v>4764</v>
          </cell>
          <cell r="G156">
            <v>4515</v>
          </cell>
          <cell r="H156" t="str">
            <v>labo</v>
          </cell>
          <cell r="I156">
            <v>3763.08</v>
          </cell>
          <cell r="J156">
            <v>3573</v>
          </cell>
          <cell r="K156" t="str">
            <v>ind_pr</v>
          </cell>
          <cell r="L156">
            <v>4211.45</v>
          </cell>
          <cell r="M156">
            <v>0</v>
          </cell>
          <cell r="N156">
            <v>0</v>
          </cell>
          <cell r="O156" t="e">
            <v>#N/A</v>
          </cell>
          <cell r="P156" t="e">
            <v>#N/A</v>
          </cell>
        </row>
        <row r="157">
          <cell r="A157" t="str">
            <v>Iretama</v>
          </cell>
          <cell r="B157" t="str">
            <v>var_pr</v>
          </cell>
          <cell r="C157">
            <v>4729.62</v>
          </cell>
          <cell r="D157">
            <v>4729.62</v>
          </cell>
          <cell r="E157" t="str">
            <v>dist</v>
          </cell>
          <cell r="F157">
            <v>4764</v>
          </cell>
          <cell r="G157">
            <v>4515</v>
          </cell>
          <cell r="H157" t="str">
            <v>labo</v>
          </cell>
          <cell r="I157">
            <v>3763.08</v>
          </cell>
          <cell r="J157">
            <v>3573</v>
          </cell>
          <cell r="K157" t="str">
            <v>ind_pr</v>
          </cell>
          <cell r="L157">
            <v>4211.45</v>
          </cell>
          <cell r="M157">
            <v>0</v>
          </cell>
          <cell r="N157" t="str">
            <v>hosp_cm</v>
          </cell>
          <cell r="O157">
            <v>4133.2</v>
          </cell>
          <cell r="P157">
            <v>0</v>
          </cell>
        </row>
        <row r="158">
          <cell r="A158" t="str">
            <v>Itaguaje</v>
          </cell>
          <cell r="B158" t="str">
            <v>var_pr</v>
          </cell>
          <cell r="C158">
            <v>4729.62</v>
          </cell>
          <cell r="D158">
            <v>4729.62</v>
          </cell>
          <cell r="E158" t="str">
            <v>dist</v>
          </cell>
          <cell r="F158">
            <v>4764</v>
          </cell>
          <cell r="G158">
            <v>4515</v>
          </cell>
          <cell r="H158" t="str">
            <v>labo</v>
          </cell>
          <cell r="I158">
            <v>3763.08</v>
          </cell>
          <cell r="J158">
            <v>3573</v>
          </cell>
          <cell r="K158" t="str">
            <v>ind_pr</v>
          </cell>
          <cell r="L158">
            <v>4211.45</v>
          </cell>
          <cell r="M158">
            <v>0</v>
          </cell>
          <cell r="N158" t="str">
            <v>hosp_mg</v>
          </cell>
          <cell r="O158">
            <v>3888.38</v>
          </cell>
          <cell r="P158">
            <v>0</v>
          </cell>
        </row>
        <row r="159">
          <cell r="A159" t="str">
            <v>Itaipulandia</v>
          </cell>
          <cell r="B159" t="str">
            <v>var_op</v>
          </cell>
          <cell r="C159">
            <v>4410</v>
          </cell>
          <cell r="D159">
            <v>4219</v>
          </cell>
          <cell r="E159" t="str">
            <v>dist</v>
          </cell>
          <cell r="F159">
            <v>4764</v>
          </cell>
          <cell r="G159">
            <v>4515</v>
          </cell>
          <cell r="H159" t="str">
            <v>labo</v>
          </cell>
          <cell r="I159">
            <v>3763.08</v>
          </cell>
          <cell r="J159">
            <v>3573</v>
          </cell>
          <cell r="K159" t="str">
            <v>ind_pr</v>
          </cell>
          <cell r="L159">
            <v>4211.45</v>
          </cell>
          <cell r="M159">
            <v>0</v>
          </cell>
          <cell r="N159">
            <v>0</v>
          </cell>
          <cell r="O159" t="e">
            <v>#N/A</v>
          </cell>
          <cell r="P159" t="e">
            <v>#N/A</v>
          </cell>
        </row>
        <row r="160">
          <cell r="A160" t="str">
            <v>Itambaraca</v>
          </cell>
          <cell r="B160" t="str">
            <v>var_pr</v>
          </cell>
          <cell r="C160">
            <v>4729.62</v>
          </cell>
          <cell r="D160">
            <v>4729.62</v>
          </cell>
          <cell r="E160" t="str">
            <v>dist</v>
          </cell>
          <cell r="F160">
            <v>4764</v>
          </cell>
          <cell r="G160">
            <v>4515</v>
          </cell>
          <cell r="H160" t="str">
            <v>labo</v>
          </cell>
          <cell r="I160">
            <v>3763.08</v>
          </cell>
          <cell r="J160">
            <v>3573</v>
          </cell>
          <cell r="K160" t="str">
            <v>ind_pr</v>
          </cell>
          <cell r="L160">
            <v>4211.45</v>
          </cell>
          <cell r="M160">
            <v>0</v>
          </cell>
          <cell r="N160">
            <v>0</v>
          </cell>
          <cell r="O160" t="e">
            <v>#N/A</v>
          </cell>
          <cell r="P160" t="e">
            <v>#N/A</v>
          </cell>
        </row>
        <row r="161">
          <cell r="A161" t="str">
            <v>Itambe</v>
          </cell>
          <cell r="B161" t="str">
            <v>var_pr</v>
          </cell>
          <cell r="C161">
            <v>4729.62</v>
          </cell>
          <cell r="D161">
            <v>4729.62</v>
          </cell>
          <cell r="E161" t="str">
            <v>dist</v>
          </cell>
          <cell r="F161">
            <v>4764</v>
          </cell>
          <cell r="G161">
            <v>4515</v>
          </cell>
          <cell r="H161" t="str">
            <v>labo</v>
          </cell>
          <cell r="I161">
            <v>3763.08</v>
          </cell>
          <cell r="J161">
            <v>3573</v>
          </cell>
          <cell r="K161" t="str">
            <v>ind_pr</v>
          </cell>
          <cell r="L161">
            <v>4211.45</v>
          </cell>
          <cell r="M161">
            <v>0</v>
          </cell>
          <cell r="N161" t="str">
            <v>hosp_mg</v>
          </cell>
          <cell r="O161">
            <v>3888.38</v>
          </cell>
          <cell r="P161">
            <v>0</v>
          </cell>
        </row>
        <row r="162">
          <cell r="A162" t="str">
            <v>Itapejara do Oeste</v>
          </cell>
          <cell r="B162" t="str">
            <v>var_pr</v>
          </cell>
          <cell r="C162">
            <v>4729.62</v>
          </cell>
          <cell r="D162">
            <v>4729.62</v>
          </cell>
          <cell r="E162" t="str">
            <v>dist</v>
          </cell>
          <cell r="F162">
            <v>4764</v>
          </cell>
          <cell r="G162">
            <v>4515</v>
          </cell>
          <cell r="H162" t="str">
            <v>labo</v>
          </cell>
          <cell r="I162">
            <v>3763.08</v>
          </cell>
          <cell r="J162">
            <v>3573</v>
          </cell>
          <cell r="K162" t="str">
            <v>ind_pr</v>
          </cell>
          <cell r="L162">
            <v>4211.45</v>
          </cell>
          <cell r="M162">
            <v>0</v>
          </cell>
          <cell r="N162" t="str">
            <v>hosp_pb</v>
          </cell>
          <cell r="O162">
            <v>1760</v>
          </cell>
          <cell r="P162">
            <v>0</v>
          </cell>
        </row>
        <row r="163">
          <cell r="A163" t="str">
            <v>Itaperuçu</v>
          </cell>
          <cell r="B163" t="str">
            <v>var_pr</v>
          </cell>
          <cell r="C163">
            <v>4729.62</v>
          </cell>
          <cell r="D163">
            <v>4729.62</v>
          </cell>
          <cell r="E163" t="str">
            <v>dist</v>
          </cell>
          <cell r="F163">
            <v>4764</v>
          </cell>
          <cell r="G163">
            <v>4515</v>
          </cell>
          <cell r="H163" t="str">
            <v>labo</v>
          </cell>
          <cell r="I163">
            <v>3763.08</v>
          </cell>
          <cell r="J163">
            <v>3573</v>
          </cell>
          <cell r="K163" t="str">
            <v>ind_pr</v>
          </cell>
          <cell r="L163">
            <v>4211.45</v>
          </cell>
          <cell r="M163">
            <v>0</v>
          </cell>
          <cell r="N163">
            <v>0</v>
          </cell>
          <cell r="O163" t="e">
            <v>#N/A</v>
          </cell>
          <cell r="P163" t="e">
            <v>#N/A</v>
          </cell>
        </row>
        <row r="164">
          <cell r="A164" t="str">
            <v>Itauna do Sul</v>
          </cell>
          <cell r="B164" t="str">
            <v>var_par</v>
          </cell>
          <cell r="C164">
            <v>4846</v>
          </cell>
          <cell r="D164">
            <v>4846</v>
          </cell>
          <cell r="E164" t="str">
            <v>dist</v>
          </cell>
          <cell r="F164">
            <v>4764</v>
          </cell>
          <cell r="G164">
            <v>4515</v>
          </cell>
          <cell r="H164" t="str">
            <v>labo</v>
          </cell>
          <cell r="I164">
            <v>3763.08</v>
          </cell>
          <cell r="J164">
            <v>3573</v>
          </cell>
          <cell r="K164" t="str">
            <v>ind_pr</v>
          </cell>
          <cell r="L164">
            <v>4211.45</v>
          </cell>
          <cell r="M164">
            <v>0</v>
          </cell>
          <cell r="N164">
            <v>0</v>
          </cell>
          <cell r="O164" t="e">
            <v>#N/A</v>
          </cell>
          <cell r="P164" t="e">
            <v>#N/A</v>
          </cell>
        </row>
        <row r="165">
          <cell r="A165" t="str">
            <v>Ivai</v>
          </cell>
          <cell r="B165" t="str">
            <v>var_pr</v>
          </cell>
          <cell r="C165">
            <v>4729.62</v>
          </cell>
          <cell r="D165">
            <v>4729.62</v>
          </cell>
          <cell r="E165" t="str">
            <v>dist</v>
          </cell>
          <cell r="F165">
            <v>4764</v>
          </cell>
          <cell r="G165">
            <v>4515</v>
          </cell>
          <cell r="H165" t="str">
            <v>labo</v>
          </cell>
          <cell r="I165">
            <v>3763.08</v>
          </cell>
          <cell r="J165">
            <v>3573</v>
          </cell>
          <cell r="K165" t="str">
            <v>ind_pr</v>
          </cell>
          <cell r="L165">
            <v>4211.45</v>
          </cell>
          <cell r="M165">
            <v>0</v>
          </cell>
          <cell r="N165">
            <v>0</v>
          </cell>
          <cell r="O165" t="e">
            <v>#N/A</v>
          </cell>
          <cell r="P165" t="e">
            <v>#N/A</v>
          </cell>
        </row>
        <row r="166">
          <cell r="A166" t="str">
            <v>Ivaipora</v>
          </cell>
          <cell r="B166" t="str">
            <v>var_ld</v>
          </cell>
          <cell r="C166">
            <v>4750</v>
          </cell>
          <cell r="D166">
            <v>4527</v>
          </cell>
          <cell r="E166" t="str">
            <v>dist</v>
          </cell>
          <cell r="F166">
            <v>4764</v>
          </cell>
          <cell r="G166">
            <v>4515</v>
          </cell>
          <cell r="H166" t="str">
            <v>labo</v>
          </cell>
          <cell r="I166">
            <v>3763.08</v>
          </cell>
          <cell r="J166">
            <v>3573</v>
          </cell>
          <cell r="K166" t="str">
            <v>ind_pr</v>
          </cell>
          <cell r="L166">
            <v>4211.45</v>
          </cell>
          <cell r="M166">
            <v>0</v>
          </cell>
          <cell r="N166">
            <v>0</v>
          </cell>
          <cell r="O166" t="e">
            <v>#N/A</v>
          </cell>
          <cell r="P166" t="e">
            <v>#N/A</v>
          </cell>
        </row>
        <row r="167">
          <cell r="A167" t="str">
            <v>Ivate</v>
          </cell>
          <cell r="B167" t="str">
            <v>var_pr</v>
          </cell>
          <cell r="C167">
            <v>4729.62</v>
          </cell>
          <cell r="D167">
            <v>4729.62</v>
          </cell>
          <cell r="E167" t="str">
            <v>dist</v>
          </cell>
          <cell r="F167">
            <v>4764</v>
          </cell>
          <cell r="G167">
            <v>4515</v>
          </cell>
          <cell r="H167" t="str">
            <v>labo</v>
          </cell>
          <cell r="I167">
            <v>3763.08</v>
          </cell>
          <cell r="J167">
            <v>3573</v>
          </cell>
          <cell r="K167" t="str">
            <v>ind_pr</v>
          </cell>
          <cell r="L167">
            <v>4211.45</v>
          </cell>
          <cell r="M167">
            <v>0</v>
          </cell>
          <cell r="N167">
            <v>0</v>
          </cell>
          <cell r="O167" t="e">
            <v>#N/A</v>
          </cell>
          <cell r="P167" t="e">
            <v>#N/A</v>
          </cell>
        </row>
        <row r="168">
          <cell r="A168" t="str">
            <v>Ivatuba</v>
          </cell>
          <cell r="B168" t="str">
            <v>var_pr</v>
          </cell>
          <cell r="C168">
            <v>4729.62</v>
          </cell>
          <cell r="D168">
            <v>4729.62</v>
          </cell>
          <cell r="E168" t="str">
            <v>dist</v>
          </cell>
          <cell r="F168">
            <v>4764</v>
          </cell>
          <cell r="G168">
            <v>4515</v>
          </cell>
          <cell r="H168" t="str">
            <v>labo</v>
          </cell>
          <cell r="I168">
            <v>3763.08</v>
          </cell>
          <cell r="J168">
            <v>3573</v>
          </cell>
          <cell r="K168" t="str">
            <v>ind_pr</v>
          </cell>
          <cell r="L168">
            <v>4211.45</v>
          </cell>
          <cell r="M168">
            <v>0</v>
          </cell>
          <cell r="N168" t="str">
            <v>hosp_mg</v>
          </cell>
          <cell r="O168">
            <v>3888.38</v>
          </cell>
          <cell r="P168">
            <v>0</v>
          </cell>
        </row>
        <row r="169">
          <cell r="A169" t="str">
            <v>Jaboti</v>
          </cell>
          <cell r="B169" t="str">
            <v>var_sto</v>
          </cell>
          <cell r="C169">
            <v>5030</v>
          </cell>
          <cell r="D169">
            <v>5030</v>
          </cell>
          <cell r="E169" t="str">
            <v>dist</v>
          </cell>
          <cell r="F169">
            <v>4764</v>
          </cell>
          <cell r="G169">
            <v>4515</v>
          </cell>
          <cell r="H169" t="str">
            <v>labo</v>
          </cell>
          <cell r="I169">
            <v>3763.08</v>
          </cell>
          <cell r="J169">
            <v>3573</v>
          </cell>
          <cell r="K169" t="str">
            <v>ind_pr</v>
          </cell>
          <cell r="L169">
            <v>4211.45</v>
          </cell>
          <cell r="M169">
            <v>0</v>
          </cell>
          <cell r="N169" t="str">
            <v>hosp_nor</v>
          </cell>
          <cell r="O169">
            <v>1760</v>
          </cell>
          <cell r="P169">
            <v>0</v>
          </cell>
        </row>
        <row r="170">
          <cell r="A170" t="str">
            <v>Jacarezinho</v>
          </cell>
          <cell r="B170" t="str">
            <v>var_ld</v>
          </cell>
          <cell r="C170">
            <v>4750</v>
          </cell>
          <cell r="D170">
            <v>4527</v>
          </cell>
          <cell r="E170" t="str">
            <v>dist</v>
          </cell>
          <cell r="F170">
            <v>4764</v>
          </cell>
          <cell r="G170">
            <v>4515</v>
          </cell>
          <cell r="H170" t="str">
            <v>labo</v>
          </cell>
          <cell r="I170">
            <v>3763.08</v>
          </cell>
          <cell r="J170">
            <v>3573</v>
          </cell>
          <cell r="K170" t="str">
            <v>ind_pr</v>
          </cell>
          <cell r="L170">
            <v>4211.45</v>
          </cell>
          <cell r="M170">
            <v>0</v>
          </cell>
          <cell r="N170" t="str">
            <v>hosp_nor</v>
          </cell>
          <cell r="O170">
            <v>1760</v>
          </cell>
          <cell r="P170">
            <v>0</v>
          </cell>
        </row>
        <row r="171">
          <cell r="A171" t="str">
            <v>Jaguapita</v>
          </cell>
          <cell r="B171" t="str">
            <v>var_ld</v>
          </cell>
          <cell r="C171">
            <v>4750</v>
          </cell>
          <cell r="D171">
            <v>4527</v>
          </cell>
          <cell r="E171" t="str">
            <v>dist</v>
          </cell>
          <cell r="F171">
            <v>4764</v>
          </cell>
          <cell r="G171">
            <v>4515</v>
          </cell>
          <cell r="H171" t="str">
            <v>labo</v>
          </cell>
          <cell r="I171">
            <v>3763.08</v>
          </cell>
          <cell r="J171">
            <v>3573</v>
          </cell>
          <cell r="K171" t="str">
            <v>ind_pr</v>
          </cell>
          <cell r="L171">
            <v>4211.45</v>
          </cell>
          <cell r="M171">
            <v>0</v>
          </cell>
          <cell r="N171">
            <v>0</v>
          </cell>
          <cell r="O171" t="e">
            <v>#N/A</v>
          </cell>
          <cell r="P171" t="e">
            <v>#N/A</v>
          </cell>
        </row>
        <row r="172">
          <cell r="A172" t="str">
            <v>Jaguariaiva</v>
          </cell>
          <cell r="B172" t="str">
            <v>var_pr</v>
          </cell>
          <cell r="C172">
            <v>4729.62</v>
          </cell>
          <cell r="D172">
            <v>4729.62</v>
          </cell>
          <cell r="E172" t="str">
            <v>dist</v>
          </cell>
          <cell r="F172">
            <v>4764</v>
          </cell>
          <cell r="G172">
            <v>4515</v>
          </cell>
          <cell r="H172" t="str">
            <v>labo</v>
          </cell>
          <cell r="I172">
            <v>3763.08</v>
          </cell>
          <cell r="J172">
            <v>3573</v>
          </cell>
          <cell r="K172" t="str">
            <v>ind_pr</v>
          </cell>
          <cell r="L172">
            <v>4211.45</v>
          </cell>
          <cell r="M172">
            <v>0</v>
          </cell>
          <cell r="N172">
            <v>0</v>
          </cell>
          <cell r="O172" t="e">
            <v>#N/A</v>
          </cell>
          <cell r="P172" t="e">
            <v>#N/A</v>
          </cell>
        </row>
        <row r="173">
          <cell r="A173" t="str">
            <v>Jandaia do Sul</v>
          </cell>
          <cell r="B173" t="str">
            <v>var_ld</v>
          </cell>
          <cell r="C173">
            <v>4750</v>
          </cell>
          <cell r="D173">
            <v>4527</v>
          </cell>
          <cell r="E173" t="str">
            <v>dist</v>
          </cell>
          <cell r="F173">
            <v>4764</v>
          </cell>
          <cell r="G173">
            <v>4515</v>
          </cell>
          <cell r="H173" t="str">
            <v>labo</v>
          </cell>
          <cell r="I173">
            <v>3763.08</v>
          </cell>
          <cell r="J173">
            <v>3573</v>
          </cell>
          <cell r="K173" t="str">
            <v>ind_pr</v>
          </cell>
          <cell r="L173">
            <v>4211.45</v>
          </cell>
          <cell r="M173">
            <v>0</v>
          </cell>
          <cell r="N173">
            <v>0</v>
          </cell>
          <cell r="O173" t="e">
            <v>#N/A</v>
          </cell>
          <cell r="P173" t="e">
            <v>#N/A</v>
          </cell>
        </row>
        <row r="174">
          <cell r="A174" t="str">
            <v>Janiopolis</v>
          </cell>
          <cell r="B174" t="str">
            <v>var_pr</v>
          </cell>
          <cell r="C174">
            <v>4729.62</v>
          </cell>
          <cell r="D174">
            <v>4729.62</v>
          </cell>
          <cell r="E174" t="str">
            <v>dist</v>
          </cell>
          <cell r="F174">
            <v>4764</v>
          </cell>
          <cell r="G174">
            <v>4515</v>
          </cell>
          <cell r="H174" t="str">
            <v>labo</v>
          </cell>
          <cell r="I174">
            <v>3763.08</v>
          </cell>
          <cell r="J174">
            <v>3573</v>
          </cell>
          <cell r="K174" t="str">
            <v>ind_pr</v>
          </cell>
          <cell r="L174">
            <v>4211.45</v>
          </cell>
          <cell r="M174">
            <v>0</v>
          </cell>
          <cell r="N174" t="str">
            <v>hosp_cm</v>
          </cell>
          <cell r="O174">
            <v>4133.2</v>
          </cell>
          <cell r="P174">
            <v>0</v>
          </cell>
        </row>
        <row r="175">
          <cell r="A175" t="str">
            <v>Japira</v>
          </cell>
          <cell r="B175" t="str">
            <v>var_sto</v>
          </cell>
          <cell r="C175">
            <v>5030</v>
          </cell>
          <cell r="D175">
            <v>5030</v>
          </cell>
          <cell r="E175" t="str">
            <v>dist</v>
          </cell>
          <cell r="F175">
            <v>4764</v>
          </cell>
          <cell r="G175">
            <v>4515</v>
          </cell>
          <cell r="H175" t="str">
            <v>labo</v>
          </cell>
          <cell r="I175">
            <v>3763.08</v>
          </cell>
          <cell r="J175">
            <v>3573</v>
          </cell>
          <cell r="K175" t="str">
            <v>ind_pr</v>
          </cell>
          <cell r="L175">
            <v>4211.45</v>
          </cell>
          <cell r="M175">
            <v>0</v>
          </cell>
          <cell r="N175" t="str">
            <v>hosp_nor</v>
          </cell>
          <cell r="O175">
            <v>1760</v>
          </cell>
          <cell r="P175">
            <v>0</v>
          </cell>
        </row>
        <row r="176">
          <cell r="A176" t="str">
            <v>Japura</v>
          </cell>
          <cell r="B176" t="str">
            <v>var_pr</v>
          </cell>
          <cell r="C176">
            <v>4729.62</v>
          </cell>
          <cell r="D176">
            <v>4729.62</v>
          </cell>
          <cell r="E176" t="str">
            <v>dist</v>
          </cell>
          <cell r="F176">
            <v>4764</v>
          </cell>
          <cell r="G176">
            <v>4515</v>
          </cell>
          <cell r="H176" t="str">
            <v>labo</v>
          </cell>
          <cell r="I176">
            <v>3763.08</v>
          </cell>
          <cell r="J176">
            <v>3573</v>
          </cell>
          <cell r="K176" t="str">
            <v>ind_pr</v>
          </cell>
          <cell r="L176">
            <v>4211.45</v>
          </cell>
          <cell r="M176">
            <v>0</v>
          </cell>
          <cell r="N176" t="str">
            <v>hosp_cia</v>
          </cell>
          <cell r="O176">
            <v>4003.87</v>
          </cell>
          <cell r="P176">
            <v>0</v>
          </cell>
        </row>
        <row r="177">
          <cell r="A177" t="str">
            <v>Jardim Alegre</v>
          </cell>
          <cell r="B177" t="str">
            <v>var_pr</v>
          </cell>
          <cell r="C177">
            <v>4729.62</v>
          </cell>
          <cell r="D177">
            <v>4729.62</v>
          </cell>
          <cell r="E177" t="str">
            <v>dist</v>
          </cell>
          <cell r="F177">
            <v>4764</v>
          </cell>
          <cell r="G177">
            <v>4515</v>
          </cell>
          <cell r="H177" t="str">
            <v>labo</v>
          </cell>
          <cell r="I177">
            <v>3763.08</v>
          </cell>
          <cell r="J177">
            <v>3573</v>
          </cell>
          <cell r="K177" t="str">
            <v>ind_pr</v>
          </cell>
          <cell r="L177">
            <v>4211.45</v>
          </cell>
          <cell r="M177">
            <v>0</v>
          </cell>
          <cell r="N177">
            <v>0</v>
          </cell>
          <cell r="O177" t="e">
            <v>#N/A</v>
          </cell>
          <cell r="P177" t="e">
            <v>#N/A</v>
          </cell>
        </row>
        <row r="178">
          <cell r="A178" t="str">
            <v>Jardim Olinda</v>
          </cell>
          <cell r="B178" t="str">
            <v>var_par</v>
          </cell>
          <cell r="C178">
            <v>4846</v>
          </cell>
          <cell r="D178">
            <v>4846</v>
          </cell>
          <cell r="E178" t="str">
            <v>dist</v>
          </cell>
          <cell r="F178">
            <v>4764</v>
          </cell>
          <cell r="G178">
            <v>4515</v>
          </cell>
          <cell r="H178" t="str">
            <v>labo</v>
          </cell>
          <cell r="I178">
            <v>3763.08</v>
          </cell>
          <cell r="J178">
            <v>3573</v>
          </cell>
          <cell r="K178" t="str">
            <v>ind_pr</v>
          </cell>
          <cell r="L178">
            <v>4211.45</v>
          </cell>
          <cell r="M178">
            <v>0</v>
          </cell>
          <cell r="N178">
            <v>0</v>
          </cell>
          <cell r="O178" t="e">
            <v>#N/A</v>
          </cell>
          <cell r="P178" t="e">
            <v>#N/A</v>
          </cell>
        </row>
        <row r="179">
          <cell r="A179" t="str">
            <v>Jataizinho</v>
          </cell>
          <cell r="B179" t="str">
            <v>var_ld</v>
          </cell>
          <cell r="C179">
            <v>4750</v>
          </cell>
          <cell r="D179">
            <v>4527</v>
          </cell>
          <cell r="E179" t="str">
            <v>dist</v>
          </cell>
          <cell r="F179">
            <v>4764</v>
          </cell>
          <cell r="G179">
            <v>4515</v>
          </cell>
          <cell r="H179" t="str">
            <v>labo</v>
          </cell>
          <cell r="I179">
            <v>3763.08</v>
          </cell>
          <cell r="J179">
            <v>3573</v>
          </cell>
          <cell r="K179" t="str">
            <v>ind_pr</v>
          </cell>
          <cell r="L179">
            <v>4211.45</v>
          </cell>
          <cell r="M179">
            <v>0</v>
          </cell>
          <cell r="N179">
            <v>0</v>
          </cell>
          <cell r="O179" t="e">
            <v>#N/A</v>
          </cell>
          <cell r="P179" t="e">
            <v>#N/A</v>
          </cell>
        </row>
        <row r="180">
          <cell r="A180" t="str">
            <v>Jesuitas</v>
          </cell>
          <cell r="B180" t="str">
            <v>var_op</v>
          </cell>
          <cell r="C180">
            <v>4410</v>
          </cell>
          <cell r="D180">
            <v>4219</v>
          </cell>
          <cell r="E180" t="str">
            <v>dist</v>
          </cell>
          <cell r="F180">
            <v>4764</v>
          </cell>
          <cell r="G180">
            <v>4515</v>
          </cell>
          <cell r="H180" t="str">
            <v>labo</v>
          </cell>
          <cell r="I180">
            <v>3763.08</v>
          </cell>
          <cell r="J180">
            <v>3573</v>
          </cell>
          <cell r="K180" t="str">
            <v>ind_pr</v>
          </cell>
          <cell r="L180">
            <v>4211.45</v>
          </cell>
          <cell r="M180">
            <v>0</v>
          </cell>
          <cell r="N180">
            <v>0</v>
          </cell>
          <cell r="O180" t="e">
            <v>#N/A</v>
          </cell>
          <cell r="P180" t="e">
            <v>#N/A</v>
          </cell>
        </row>
        <row r="181">
          <cell r="A181" t="str">
            <v>Joaquim Tavora</v>
          </cell>
          <cell r="B181" t="str">
            <v>var_sto</v>
          </cell>
          <cell r="C181">
            <v>5030</v>
          </cell>
          <cell r="D181">
            <v>5030</v>
          </cell>
          <cell r="E181" t="str">
            <v>dist</v>
          </cell>
          <cell r="F181">
            <v>4764</v>
          </cell>
          <cell r="G181">
            <v>4515</v>
          </cell>
          <cell r="H181" t="str">
            <v>labo</v>
          </cell>
          <cell r="I181">
            <v>3763.08</v>
          </cell>
          <cell r="J181">
            <v>3573</v>
          </cell>
          <cell r="K181" t="str">
            <v>ind_pr</v>
          </cell>
          <cell r="L181">
            <v>4211.45</v>
          </cell>
          <cell r="M181">
            <v>0</v>
          </cell>
          <cell r="N181" t="str">
            <v>hosp_nor</v>
          </cell>
          <cell r="O181">
            <v>1760</v>
          </cell>
          <cell r="P181">
            <v>0</v>
          </cell>
        </row>
        <row r="182">
          <cell r="A182" t="str">
            <v>Jundiai do Sul</v>
          </cell>
          <cell r="B182" t="str">
            <v>var_sto</v>
          </cell>
          <cell r="C182">
            <v>5030</v>
          </cell>
          <cell r="D182">
            <v>5030</v>
          </cell>
          <cell r="E182" t="str">
            <v>dist</v>
          </cell>
          <cell r="F182">
            <v>4764</v>
          </cell>
          <cell r="G182">
            <v>4515</v>
          </cell>
          <cell r="H182" t="str">
            <v>labo</v>
          </cell>
          <cell r="I182">
            <v>3763.08</v>
          </cell>
          <cell r="J182">
            <v>3573</v>
          </cell>
          <cell r="K182" t="str">
            <v>ind_pr</v>
          </cell>
          <cell r="L182">
            <v>4211.45</v>
          </cell>
          <cell r="M182">
            <v>0</v>
          </cell>
          <cell r="N182" t="str">
            <v>hosp_nor</v>
          </cell>
          <cell r="O182">
            <v>1760</v>
          </cell>
          <cell r="P182">
            <v>0</v>
          </cell>
        </row>
        <row r="183">
          <cell r="A183" t="str">
            <v>Juranda</v>
          </cell>
          <cell r="B183" t="str">
            <v>var_pr</v>
          </cell>
          <cell r="C183">
            <v>4729.62</v>
          </cell>
          <cell r="D183">
            <v>4729.62</v>
          </cell>
          <cell r="E183" t="str">
            <v>dist</v>
          </cell>
          <cell r="F183">
            <v>4764</v>
          </cell>
          <cell r="G183">
            <v>4515</v>
          </cell>
          <cell r="H183" t="str">
            <v>labo</v>
          </cell>
          <cell r="I183">
            <v>3763.08</v>
          </cell>
          <cell r="J183">
            <v>3573</v>
          </cell>
          <cell r="K183" t="str">
            <v>ind_pr</v>
          </cell>
          <cell r="L183">
            <v>4211.45</v>
          </cell>
          <cell r="M183">
            <v>0</v>
          </cell>
          <cell r="N183" t="str">
            <v>hosp_cm</v>
          </cell>
          <cell r="O183">
            <v>4133.2</v>
          </cell>
          <cell r="P183">
            <v>0</v>
          </cell>
        </row>
        <row r="184">
          <cell r="A184" t="str">
            <v>Jussara</v>
          </cell>
          <cell r="B184" t="str">
            <v>var_pr</v>
          </cell>
          <cell r="C184">
            <v>4729.62</v>
          </cell>
          <cell r="D184">
            <v>4729.62</v>
          </cell>
          <cell r="E184" t="str">
            <v>dist</v>
          </cell>
          <cell r="F184">
            <v>4764</v>
          </cell>
          <cell r="G184">
            <v>4515</v>
          </cell>
          <cell r="H184" t="str">
            <v>labo</v>
          </cell>
          <cell r="I184">
            <v>3763.08</v>
          </cell>
          <cell r="J184">
            <v>3573</v>
          </cell>
          <cell r="K184" t="str">
            <v>ind_pr</v>
          </cell>
          <cell r="L184">
            <v>4211.45</v>
          </cell>
          <cell r="M184">
            <v>0</v>
          </cell>
          <cell r="N184" t="str">
            <v>hosp_cia</v>
          </cell>
          <cell r="O184">
            <v>4003.87</v>
          </cell>
          <cell r="P184">
            <v>0</v>
          </cell>
        </row>
        <row r="185">
          <cell r="A185" t="str">
            <v>Kalore</v>
          </cell>
          <cell r="B185" t="str">
            <v>var_ld</v>
          </cell>
          <cell r="C185">
            <v>4750</v>
          </cell>
          <cell r="D185">
            <v>4527</v>
          </cell>
          <cell r="E185" t="str">
            <v>dist</v>
          </cell>
          <cell r="F185">
            <v>4764</v>
          </cell>
          <cell r="G185">
            <v>4515</v>
          </cell>
          <cell r="H185" t="str">
            <v>labo</v>
          </cell>
          <cell r="I185">
            <v>3763.08</v>
          </cell>
          <cell r="J185">
            <v>3573</v>
          </cell>
          <cell r="K185" t="str">
            <v>ind_pr</v>
          </cell>
          <cell r="L185">
            <v>4211.45</v>
          </cell>
          <cell r="M185">
            <v>0</v>
          </cell>
          <cell r="N185">
            <v>0</v>
          </cell>
          <cell r="O185" t="e">
            <v>#N/A</v>
          </cell>
          <cell r="P185" t="e">
            <v>#N/A</v>
          </cell>
        </row>
        <row r="186">
          <cell r="A186" t="str">
            <v>Lapa</v>
          </cell>
          <cell r="B186" t="str">
            <v>var_pr</v>
          </cell>
          <cell r="C186">
            <v>4729.62</v>
          </cell>
          <cell r="D186">
            <v>4729.62</v>
          </cell>
          <cell r="E186" t="str">
            <v>dist</v>
          </cell>
          <cell r="F186">
            <v>4764</v>
          </cell>
          <cell r="G186">
            <v>4515</v>
          </cell>
          <cell r="H186" t="str">
            <v>labo</v>
          </cell>
          <cell r="I186">
            <v>3763.08</v>
          </cell>
          <cell r="J186">
            <v>3573</v>
          </cell>
          <cell r="K186" t="str">
            <v>ind_pr</v>
          </cell>
          <cell r="L186">
            <v>4211.45</v>
          </cell>
          <cell r="M186">
            <v>0</v>
          </cell>
          <cell r="N186" t="str">
            <v>hosp_pr</v>
          </cell>
          <cell r="O186">
            <v>4567</v>
          </cell>
          <cell r="P186">
            <v>0</v>
          </cell>
        </row>
        <row r="187">
          <cell r="A187" t="str">
            <v>Laranjal</v>
          </cell>
          <cell r="B187" t="str">
            <v>var_pr</v>
          </cell>
          <cell r="C187">
            <v>4729.62</v>
          </cell>
          <cell r="D187">
            <v>4729.62</v>
          </cell>
          <cell r="E187" t="str">
            <v>dist</v>
          </cell>
          <cell r="F187">
            <v>4764</v>
          </cell>
          <cell r="G187">
            <v>4515</v>
          </cell>
          <cell r="H187" t="str">
            <v>labo</v>
          </cell>
          <cell r="I187">
            <v>3763.08</v>
          </cell>
          <cell r="J187">
            <v>3573</v>
          </cell>
          <cell r="K187" t="str">
            <v>ind_pr</v>
          </cell>
          <cell r="L187">
            <v>4211.45</v>
          </cell>
          <cell r="M187">
            <v>0</v>
          </cell>
          <cell r="N187" t="str">
            <v>hosp_co</v>
          </cell>
          <cell r="O187">
            <v>3036.29</v>
          </cell>
          <cell r="P187">
            <v>0</v>
          </cell>
        </row>
        <row r="188">
          <cell r="A188" t="str">
            <v>Laranjeiras do Sul</v>
          </cell>
          <cell r="B188" t="str">
            <v>var_op</v>
          </cell>
          <cell r="C188">
            <v>4410</v>
          </cell>
          <cell r="D188">
            <v>4219</v>
          </cell>
          <cell r="E188" t="str">
            <v>dist</v>
          </cell>
          <cell r="F188">
            <v>4764</v>
          </cell>
          <cell r="G188">
            <v>4515</v>
          </cell>
          <cell r="H188" t="str">
            <v>labo</v>
          </cell>
          <cell r="I188">
            <v>3763.08</v>
          </cell>
          <cell r="J188">
            <v>3573</v>
          </cell>
          <cell r="K188" t="str">
            <v>ind_pr</v>
          </cell>
          <cell r="L188">
            <v>4211.45</v>
          </cell>
          <cell r="M188">
            <v>0</v>
          </cell>
          <cell r="N188" t="str">
            <v>hosp_co</v>
          </cell>
          <cell r="O188">
            <v>3036.29</v>
          </cell>
          <cell r="P188">
            <v>0</v>
          </cell>
        </row>
        <row r="189">
          <cell r="A189" t="str">
            <v>Leopolis</v>
          </cell>
          <cell r="B189" t="str">
            <v>var_ld</v>
          </cell>
          <cell r="C189">
            <v>4750</v>
          </cell>
          <cell r="D189">
            <v>4527</v>
          </cell>
          <cell r="E189" t="str">
            <v>dist</v>
          </cell>
          <cell r="F189">
            <v>4764</v>
          </cell>
          <cell r="G189">
            <v>4515</v>
          </cell>
          <cell r="H189" t="str">
            <v>labo</v>
          </cell>
          <cell r="I189">
            <v>3763.08</v>
          </cell>
          <cell r="J189">
            <v>3573</v>
          </cell>
          <cell r="K189" t="str">
            <v>ind_pr</v>
          </cell>
          <cell r="L189">
            <v>4211.45</v>
          </cell>
          <cell r="M189">
            <v>0</v>
          </cell>
          <cell r="N189">
            <v>0</v>
          </cell>
          <cell r="O189" t="e">
            <v>#N/A</v>
          </cell>
          <cell r="P189" t="e">
            <v>#N/A</v>
          </cell>
        </row>
        <row r="190">
          <cell r="A190" t="str">
            <v>Lidianopolis</v>
          </cell>
          <cell r="B190" t="str">
            <v>var_pr</v>
          </cell>
          <cell r="C190">
            <v>4729.62</v>
          </cell>
          <cell r="D190">
            <v>4729.62</v>
          </cell>
          <cell r="E190" t="str">
            <v>dist</v>
          </cell>
          <cell r="F190">
            <v>4764</v>
          </cell>
          <cell r="G190">
            <v>4515</v>
          </cell>
          <cell r="H190" t="str">
            <v>labo</v>
          </cell>
          <cell r="I190">
            <v>3763.08</v>
          </cell>
          <cell r="J190">
            <v>3573</v>
          </cell>
          <cell r="K190" t="str">
            <v>ind_pr</v>
          </cell>
          <cell r="L190">
            <v>4211.45</v>
          </cell>
          <cell r="M190">
            <v>0</v>
          </cell>
          <cell r="N190">
            <v>0</v>
          </cell>
          <cell r="O190" t="e">
            <v>#N/A</v>
          </cell>
          <cell r="P190" t="e">
            <v>#N/A</v>
          </cell>
        </row>
        <row r="191">
          <cell r="A191" t="str">
            <v>Lindoeste</v>
          </cell>
          <cell r="B191" t="str">
            <v>var_op</v>
          </cell>
          <cell r="C191">
            <v>4410</v>
          </cell>
          <cell r="D191">
            <v>4219</v>
          </cell>
          <cell r="E191" t="str">
            <v>dist</v>
          </cell>
          <cell r="F191">
            <v>4764</v>
          </cell>
          <cell r="G191">
            <v>4515</v>
          </cell>
          <cell r="H191" t="str">
            <v>labo</v>
          </cell>
          <cell r="I191">
            <v>3763.08</v>
          </cell>
          <cell r="J191">
            <v>3573</v>
          </cell>
          <cell r="K191" t="str">
            <v>ind_pr</v>
          </cell>
          <cell r="L191">
            <v>4211.45</v>
          </cell>
          <cell r="M191">
            <v>0</v>
          </cell>
          <cell r="N191">
            <v>0</v>
          </cell>
          <cell r="O191" t="e">
            <v>#N/A</v>
          </cell>
          <cell r="P191" t="e">
            <v>#N/A</v>
          </cell>
        </row>
        <row r="192">
          <cell r="A192" t="str">
            <v>Loanda</v>
          </cell>
          <cell r="B192" t="str">
            <v>var_par</v>
          </cell>
          <cell r="C192">
            <v>4846</v>
          </cell>
          <cell r="D192">
            <v>4846</v>
          </cell>
          <cell r="E192" t="str">
            <v>dist</v>
          </cell>
          <cell r="F192">
            <v>4764</v>
          </cell>
          <cell r="G192">
            <v>4515</v>
          </cell>
          <cell r="H192" t="str">
            <v>labo</v>
          </cell>
          <cell r="I192">
            <v>3763.08</v>
          </cell>
          <cell r="J192">
            <v>3573</v>
          </cell>
          <cell r="K192" t="str">
            <v>ind_pr</v>
          </cell>
          <cell r="L192">
            <v>4211.45</v>
          </cell>
          <cell r="M192">
            <v>0</v>
          </cell>
          <cell r="N192">
            <v>0</v>
          </cell>
          <cell r="O192" t="e">
            <v>#N/A</v>
          </cell>
          <cell r="P192" t="e">
            <v>#N/A</v>
          </cell>
        </row>
        <row r="193">
          <cell r="A193" t="str">
            <v>Lobato</v>
          </cell>
          <cell r="B193" t="str">
            <v>var_pr</v>
          </cell>
          <cell r="C193">
            <v>4729.62</v>
          </cell>
          <cell r="D193">
            <v>4729.62</v>
          </cell>
          <cell r="E193" t="str">
            <v>dist</v>
          </cell>
          <cell r="F193">
            <v>4764</v>
          </cell>
          <cell r="G193">
            <v>4515</v>
          </cell>
          <cell r="H193" t="str">
            <v>labo</v>
          </cell>
          <cell r="I193">
            <v>3763.08</v>
          </cell>
          <cell r="J193">
            <v>3573</v>
          </cell>
          <cell r="K193" t="str">
            <v>ind_pr</v>
          </cell>
          <cell r="L193">
            <v>4211.45</v>
          </cell>
          <cell r="M193">
            <v>0</v>
          </cell>
          <cell r="N193" t="str">
            <v>hosp_mg</v>
          </cell>
          <cell r="O193">
            <v>3888.38</v>
          </cell>
          <cell r="P193">
            <v>0</v>
          </cell>
        </row>
        <row r="194">
          <cell r="A194" t="str">
            <v>Londrina</v>
          </cell>
          <cell r="B194" t="str">
            <v>var_ld</v>
          </cell>
          <cell r="C194">
            <v>4750</v>
          </cell>
          <cell r="D194">
            <v>4527</v>
          </cell>
          <cell r="E194" t="str">
            <v>dist</v>
          </cell>
          <cell r="F194">
            <v>4764</v>
          </cell>
          <cell r="G194">
            <v>4515</v>
          </cell>
          <cell r="H194" t="str">
            <v>labo</v>
          </cell>
          <cell r="I194">
            <v>3763.08</v>
          </cell>
          <cell r="J194">
            <v>3573</v>
          </cell>
          <cell r="K194" t="str">
            <v>ind_nor</v>
          </cell>
          <cell r="L194">
            <v>3446</v>
          </cell>
          <cell r="M194">
            <v>0</v>
          </cell>
          <cell r="N194">
            <v>0</v>
          </cell>
          <cell r="O194" t="e">
            <v>#N/A</v>
          </cell>
          <cell r="P194" t="e">
            <v>#N/A</v>
          </cell>
        </row>
        <row r="195">
          <cell r="A195" t="str">
            <v>Luiziana</v>
          </cell>
          <cell r="B195" t="str">
            <v>var_pr</v>
          </cell>
          <cell r="C195">
            <v>4729.62</v>
          </cell>
          <cell r="D195">
            <v>4729.62</v>
          </cell>
          <cell r="E195" t="str">
            <v>dist</v>
          </cell>
          <cell r="F195">
            <v>4764</v>
          </cell>
          <cell r="G195">
            <v>4515</v>
          </cell>
          <cell r="H195" t="str">
            <v>labo</v>
          </cell>
          <cell r="I195">
            <v>3763.08</v>
          </cell>
          <cell r="J195">
            <v>3573</v>
          </cell>
          <cell r="K195" t="str">
            <v>ind_pr</v>
          </cell>
          <cell r="L195">
            <v>4211.45</v>
          </cell>
          <cell r="M195">
            <v>0</v>
          </cell>
          <cell r="N195" t="str">
            <v>hosp_cm</v>
          </cell>
          <cell r="O195">
            <v>4133.2</v>
          </cell>
          <cell r="P195">
            <v>0</v>
          </cell>
        </row>
        <row r="196">
          <cell r="A196" t="str">
            <v>Lunardelli</v>
          </cell>
          <cell r="B196" t="str">
            <v>var_pr</v>
          </cell>
          <cell r="C196">
            <v>4729.62</v>
          </cell>
          <cell r="D196">
            <v>4729.62</v>
          </cell>
          <cell r="E196" t="str">
            <v>dist</v>
          </cell>
          <cell r="F196">
            <v>4764</v>
          </cell>
          <cell r="G196">
            <v>4515</v>
          </cell>
          <cell r="H196" t="str">
            <v>labo</v>
          </cell>
          <cell r="I196">
            <v>3763.08</v>
          </cell>
          <cell r="J196">
            <v>3573</v>
          </cell>
          <cell r="K196" t="str">
            <v>ind_pr</v>
          </cell>
          <cell r="L196">
            <v>4211.45</v>
          </cell>
          <cell r="M196">
            <v>0</v>
          </cell>
          <cell r="N196">
            <v>0</v>
          </cell>
          <cell r="O196" t="e">
            <v>#N/A</v>
          </cell>
          <cell r="P196" t="e">
            <v>#N/A</v>
          </cell>
        </row>
        <row r="197">
          <cell r="A197" t="str">
            <v>Lupionopolis</v>
          </cell>
          <cell r="B197" t="str">
            <v>var_ld</v>
          </cell>
          <cell r="C197">
            <v>4750</v>
          </cell>
          <cell r="D197">
            <v>4527</v>
          </cell>
          <cell r="E197" t="str">
            <v>dist</v>
          </cell>
          <cell r="F197">
            <v>4764</v>
          </cell>
          <cell r="G197">
            <v>4515</v>
          </cell>
          <cell r="H197" t="str">
            <v>labo</v>
          </cell>
          <cell r="I197">
            <v>3763.08</v>
          </cell>
          <cell r="J197">
            <v>3573</v>
          </cell>
          <cell r="K197" t="str">
            <v>ind_pr</v>
          </cell>
          <cell r="L197">
            <v>4211.45</v>
          </cell>
          <cell r="M197">
            <v>0</v>
          </cell>
          <cell r="N197">
            <v>0</v>
          </cell>
          <cell r="O197" t="e">
            <v>#N/A</v>
          </cell>
          <cell r="P197" t="e">
            <v>#N/A</v>
          </cell>
        </row>
        <row r="198">
          <cell r="A198" t="str">
            <v>Mallet</v>
          </cell>
          <cell r="B198" t="str">
            <v>var_pr</v>
          </cell>
          <cell r="C198">
            <v>4729.62</v>
          </cell>
          <cell r="D198">
            <v>4729.62</v>
          </cell>
          <cell r="E198" t="str">
            <v>dist</v>
          </cell>
          <cell r="F198">
            <v>4764</v>
          </cell>
          <cell r="G198">
            <v>4515</v>
          </cell>
          <cell r="H198" t="str">
            <v>labo</v>
          </cell>
          <cell r="I198">
            <v>3763.08</v>
          </cell>
          <cell r="J198">
            <v>3573</v>
          </cell>
          <cell r="K198" t="str">
            <v>ind_pr</v>
          </cell>
          <cell r="L198">
            <v>4211.45</v>
          </cell>
          <cell r="M198">
            <v>0</v>
          </cell>
          <cell r="N198">
            <v>0</v>
          </cell>
          <cell r="O198" t="e">
            <v>#N/A</v>
          </cell>
          <cell r="P198" t="e">
            <v>#N/A</v>
          </cell>
        </row>
        <row r="199">
          <cell r="A199" t="str">
            <v>Mambore</v>
          </cell>
          <cell r="B199" t="str">
            <v>var_pr</v>
          </cell>
          <cell r="C199">
            <v>4729.62</v>
          </cell>
          <cell r="D199">
            <v>4729.62</v>
          </cell>
          <cell r="E199" t="str">
            <v>dist</v>
          </cell>
          <cell r="F199">
            <v>4764</v>
          </cell>
          <cell r="G199">
            <v>4515</v>
          </cell>
          <cell r="H199" t="str">
            <v>labo</v>
          </cell>
          <cell r="I199">
            <v>3763.08</v>
          </cell>
          <cell r="J199">
            <v>3573</v>
          </cell>
          <cell r="K199" t="str">
            <v>ind_pr</v>
          </cell>
          <cell r="L199">
            <v>4211.45</v>
          </cell>
          <cell r="M199">
            <v>0</v>
          </cell>
          <cell r="N199" t="str">
            <v>hosp_cm</v>
          </cell>
          <cell r="O199">
            <v>4133.2</v>
          </cell>
          <cell r="P199">
            <v>0</v>
          </cell>
        </row>
        <row r="200">
          <cell r="A200" t="str">
            <v>Mandaguaçu</v>
          </cell>
          <cell r="B200" t="str">
            <v>var_pr</v>
          </cell>
          <cell r="C200">
            <v>4729.62</v>
          </cell>
          <cell r="D200">
            <v>4729.62</v>
          </cell>
          <cell r="E200" t="str">
            <v>dist</v>
          </cell>
          <cell r="F200">
            <v>4764</v>
          </cell>
          <cell r="G200">
            <v>4515</v>
          </cell>
          <cell r="H200" t="str">
            <v>labo</v>
          </cell>
          <cell r="I200">
            <v>3763.08</v>
          </cell>
          <cell r="J200">
            <v>3573</v>
          </cell>
          <cell r="K200" t="str">
            <v>ind_pr</v>
          </cell>
          <cell r="L200">
            <v>4211.45</v>
          </cell>
          <cell r="M200">
            <v>0</v>
          </cell>
          <cell r="N200" t="str">
            <v>hosp_mg</v>
          </cell>
          <cell r="O200">
            <v>3888.38</v>
          </cell>
          <cell r="P200">
            <v>0</v>
          </cell>
        </row>
        <row r="201">
          <cell r="A201" t="str">
            <v>Mandaguari</v>
          </cell>
          <cell r="B201" t="str">
            <v>var_ld</v>
          </cell>
          <cell r="C201">
            <v>4750</v>
          </cell>
          <cell r="D201">
            <v>4527</v>
          </cell>
          <cell r="E201" t="str">
            <v>dist</v>
          </cell>
          <cell r="F201">
            <v>4764</v>
          </cell>
          <cell r="G201">
            <v>4515</v>
          </cell>
          <cell r="H201" t="str">
            <v>labo</v>
          </cell>
          <cell r="I201">
            <v>3763.08</v>
          </cell>
          <cell r="J201">
            <v>3573</v>
          </cell>
          <cell r="K201" t="str">
            <v>ind_pr</v>
          </cell>
          <cell r="L201">
            <v>4211.45</v>
          </cell>
          <cell r="M201">
            <v>0</v>
          </cell>
          <cell r="N201" t="str">
            <v>hosp_mg</v>
          </cell>
          <cell r="O201">
            <v>3888.38</v>
          </cell>
          <cell r="P201">
            <v>0</v>
          </cell>
        </row>
        <row r="202">
          <cell r="A202" t="str">
            <v>Mandirituba</v>
          </cell>
          <cell r="B202" t="str">
            <v>var_pr</v>
          </cell>
          <cell r="C202">
            <v>4729.62</v>
          </cell>
          <cell r="D202">
            <v>4729.62</v>
          </cell>
          <cell r="E202" t="str">
            <v>dist</v>
          </cell>
          <cell r="F202">
            <v>4764</v>
          </cell>
          <cell r="G202">
            <v>4515</v>
          </cell>
          <cell r="H202" t="str">
            <v>labo</v>
          </cell>
          <cell r="I202">
            <v>3763.08</v>
          </cell>
          <cell r="J202">
            <v>3573</v>
          </cell>
          <cell r="K202" t="str">
            <v>ind_pr</v>
          </cell>
          <cell r="L202">
            <v>4211.45</v>
          </cell>
          <cell r="M202">
            <v>0</v>
          </cell>
          <cell r="N202" t="str">
            <v>hosp_pr</v>
          </cell>
          <cell r="O202">
            <v>4567</v>
          </cell>
          <cell r="P202">
            <v>0</v>
          </cell>
        </row>
        <row r="203">
          <cell r="A203" t="str">
            <v>Manfrinopolis</v>
          </cell>
          <cell r="B203" t="str">
            <v>var_pr</v>
          </cell>
          <cell r="C203">
            <v>4729.62</v>
          </cell>
          <cell r="D203">
            <v>4729.62</v>
          </cell>
          <cell r="E203" t="str">
            <v>dist</v>
          </cell>
          <cell r="F203">
            <v>4764</v>
          </cell>
          <cell r="G203">
            <v>4515</v>
          </cell>
          <cell r="H203" t="str">
            <v>labo</v>
          </cell>
          <cell r="I203">
            <v>3763.08</v>
          </cell>
          <cell r="J203">
            <v>3573</v>
          </cell>
          <cell r="K203" t="str">
            <v>ind_pr</v>
          </cell>
          <cell r="L203">
            <v>4211.45</v>
          </cell>
          <cell r="M203">
            <v>0</v>
          </cell>
          <cell r="N203" t="str">
            <v>hosp_sudpr</v>
          </cell>
          <cell r="O203">
            <v>1760</v>
          </cell>
          <cell r="P203">
            <v>0</v>
          </cell>
        </row>
        <row r="204">
          <cell r="A204" t="str">
            <v>Mangueirinha</v>
          </cell>
          <cell r="B204" t="str">
            <v>var_pr</v>
          </cell>
          <cell r="C204">
            <v>4729.62</v>
          </cell>
          <cell r="D204">
            <v>4729.62</v>
          </cell>
          <cell r="E204" t="str">
            <v>dist</v>
          </cell>
          <cell r="F204">
            <v>4764</v>
          </cell>
          <cell r="G204">
            <v>4515</v>
          </cell>
          <cell r="H204" t="str">
            <v>labo</v>
          </cell>
          <cell r="I204">
            <v>3763.08</v>
          </cell>
          <cell r="J204">
            <v>3573</v>
          </cell>
          <cell r="K204" t="str">
            <v>ind_pr</v>
          </cell>
          <cell r="L204">
            <v>4211.45</v>
          </cell>
          <cell r="M204">
            <v>0</v>
          </cell>
          <cell r="N204" t="str">
            <v>hosp_pb</v>
          </cell>
          <cell r="O204">
            <v>1760</v>
          </cell>
          <cell r="P204">
            <v>0</v>
          </cell>
        </row>
        <row r="205">
          <cell r="A205" t="str">
            <v>Manoel Ribas</v>
          </cell>
          <cell r="B205" t="str">
            <v>var_pr</v>
          </cell>
          <cell r="C205">
            <v>4729.62</v>
          </cell>
          <cell r="D205">
            <v>4729.62</v>
          </cell>
          <cell r="E205" t="str">
            <v>dist</v>
          </cell>
          <cell r="F205">
            <v>4764</v>
          </cell>
          <cell r="G205">
            <v>4515</v>
          </cell>
          <cell r="H205" t="str">
            <v>labo</v>
          </cell>
          <cell r="I205">
            <v>3763.08</v>
          </cell>
          <cell r="J205">
            <v>3573</v>
          </cell>
          <cell r="K205" t="str">
            <v>ind_pr</v>
          </cell>
          <cell r="L205">
            <v>4211.45</v>
          </cell>
          <cell r="M205">
            <v>0</v>
          </cell>
          <cell r="N205">
            <v>0</v>
          </cell>
          <cell r="O205" t="e">
            <v>#N/A</v>
          </cell>
          <cell r="P205" t="e">
            <v>#N/A</v>
          </cell>
        </row>
        <row r="206">
          <cell r="A206" t="str">
            <v>Marechal Candido Rondon</v>
          </cell>
          <cell r="B206" t="str">
            <v>var_op</v>
          </cell>
          <cell r="C206">
            <v>4410</v>
          </cell>
          <cell r="D206">
            <v>4219</v>
          </cell>
          <cell r="E206" t="str">
            <v>dist</v>
          </cell>
          <cell r="F206">
            <v>4764</v>
          </cell>
          <cell r="G206">
            <v>4515</v>
          </cell>
          <cell r="H206" t="str">
            <v>labo</v>
          </cell>
          <cell r="I206">
            <v>3763.08</v>
          </cell>
          <cell r="J206">
            <v>3573</v>
          </cell>
          <cell r="K206" t="str">
            <v>ind_pr</v>
          </cell>
          <cell r="L206">
            <v>4211.45</v>
          </cell>
          <cell r="M206">
            <v>0</v>
          </cell>
          <cell r="N206" t="str">
            <v>hosp_pr</v>
          </cell>
          <cell r="O206">
            <v>4567</v>
          </cell>
          <cell r="P206">
            <v>0</v>
          </cell>
        </row>
        <row r="207">
          <cell r="A207" t="str">
            <v>Maria Helena</v>
          </cell>
          <cell r="B207" t="str">
            <v>var_pr</v>
          </cell>
          <cell r="C207">
            <v>4729.62</v>
          </cell>
          <cell r="D207">
            <v>4729.62</v>
          </cell>
          <cell r="E207" t="str">
            <v>dist</v>
          </cell>
          <cell r="F207">
            <v>4764</v>
          </cell>
          <cell r="G207">
            <v>4515</v>
          </cell>
          <cell r="H207" t="str">
            <v>labo</v>
          </cell>
          <cell r="I207">
            <v>3763.08</v>
          </cell>
          <cell r="J207">
            <v>3573</v>
          </cell>
          <cell r="K207" t="str">
            <v>ind_pr</v>
          </cell>
          <cell r="L207">
            <v>4211.45</v>
          </cell>
          <cell r="M207">
            <v>0</v>
          </cell>
          <cell r="N207" t="str">
            <v>hosp_umu</v>
          </cell>
          <cell r="O207">
            <v>2428.5500000000002</v>
          </cell>
          <cell r="P207">
            <v>0</v>
          </cell>
        </row>
        <row r="208">
          <cell r="A208" t="str">
            <v>Marialva</v>
          </cell>
          <cell r="B208" t="str">
            <v>var_pr</v>
          </cell>
          <cell r="C208">
            <v>4729.62</v>
          </cell>
          <cell r="D208">
            <v>4729.62</v>
          </cell>
          <cell r="E208" t="str">
            <v>dist</v>
          </cell>
          <cell r="F208">
            <v>4764</v>
          </cell>
          <cell r="G208">
            <v>4515</v>
          </cell>
          <cell r="H208" t="str">
            <v>labo</v>
          </cell>
          <cell r="I208">
            <v>3763.08</v>
          </cell>
          <cell r="J208">
            <v>3573</v>
          </cell>
          <cell r="K208" t="str">
            <v>ind_pr</v>
          </cell>
          <cell r="L208">
            <v>4211.45</v>
          </cell>
          <cell r="M208">
            <v>0</v>
          </cell>
          <cell r="N208" t="str">
            <v>hosp_mg</v>
          </cell>
          <cell r="O208">
            <v>3888.38</v>
          </cell>
          <cell r="P208">
            <v>0</v>
          </cell>
        </row>
        <row r="209">
          <cell r="A209" t="str">
            <v>Marilandia do Sul</v>
          </cell>
          <cell r="B209" t="str">
            <v>var_ld</v>
          </cell>
          <cell r="C209">
            <v>4750</v>
          </cell>
          <cell r="D209">
            <v>4527</v>
          </cell>
          <cell r="E209" t="str">
            <v>dist</v>
          </cell>
          <cell r="F209">
            <v>4764</v>
          </cell>
          <cell r="G209">
            <v>4515</v>
          </cell>
          <cell r="H209" t="str">
            <v>labo</v>
          </cell>
          <cell r="I209">
            <v>3763.08</v>
          </cell>
          <cell r="J209">
            <v>3573</v>
          </cell>
          <cell r="K209" t="str">
            <v>ind_pr</v>
          </cell>
          <cell r="L209">
            <v>4211.45</v>
          </cell>
          <cell r="M209">
            <v>0</v>
          </cell>
          <cell r="N209">
            <v>0</v>
          </cell>
          <cell r="O209" t="e">
            <v>#N/A</v>
          </cell>
          <cell r="P209" t="e">
            <v>#N/A</v>
          </cell>
        </row>
        <row r="210">
          <cell r="A210" t="str">
            <v>Marilena</v>
          </cell>
          <cell r="B210" t="str">
            <v>var_par</v>
          </cell>
          <cell r="C210">
            <v>4846</v>
          </cell>
          <cell r="D210">
            <v>4846</v>
          </cell>
          <cell r="E210" t="str">
            <v>dist</v>
          </cell>
          <cell r="F210">
            <v>4764</v>
          </cell>
          <cell r="G210">
            <v>4515</v>
          </cell>
          <cell r="H210" t="str">
            <v>labo</v>
          </cell>
          <cell r="I210">
            <v>3763.08</v>
          </cell>
          <cell r="J210">
            <v>3573</v>
          </cell>
          <cell r="K210" t="str">
            <v>ind_pr</v>
          </cell>
          <cell r="L210">
            <v>4211.45</v>
          </cell>
          <cell r="M210">
            <v>0</v>
          </cell>
          <cell r="N210">
            <v>0</v>
          </cell>
          <cell r="O210" t="e">
            <v>#N/A</v>
          </cell>
          <cell r="P210" t="e">
            <v>#N/A</v>
          </cell>
        </row>
        <row r="211">
          <cell r="A211" t="str">
            <v>Mariluz</v>
          </cell>
          <cell r="B211" t="str">
            <v>var_pr</v>
          </cell>
          <cell r="C211">
            <v>4729.62</v>
          </cell>
          <cell r="D211">
            <v>4729.62</v>
          </cell>
          <cell r="E211" t="str">
            <v>dist</v>
          </cell>
          <cell r="F211">
            <v>4764</v>
          </cell>
          <cell r="G211">
            <v>4515</v>
          </cell>
          <cell r="H211" t="str">
            <v>labo</v>
          </cell>
          <cell r="I211">
            <v>3763.08</v>
          </cell>
          <cell r="J211">
            <v>3573</v>
          </cell>
          <cell r="K211" t="str">
            <v>ind_pr</v>
          </cell>
          <cell r="L211">
            <v>4211.45</v>
          </cell>
          <cell r="M211">
            <v>0</v>
          </cell>
          <cell r="N211" t="str">
            <v>hosp_umu</v>
          </cell>
          <cell r="O211">
            <v>2428.5500000000002</v>
          </cell>
          <cell r="P211">
            <v>0</v>
          </cell>
        </row>
        <row r="212">
          <cell r="A212" t="str">
            <v>Maringa</v>
          </cell>
          <cell r="B212" t="str">
            <v>var_mg</v>
          </cell>
          <cell r="C212">
            <v>4773</v>
          </cell>
          <cell r="D212">
            <v>4773</v>
          </cell>
          <cell r="E212" t="str">
            <v>dist</v>
          </cell>
          <cell r="F212">
            <v>4764</v>
          </cell>
          <cell r="G212">
            <v>4515</v>
          </cell>
          <cell r="H212" t="str">
            <v>labo</v>
          </cell>
          <cell r="I212">
            <v>3763.08</v>
          </cell>
          <cell r="J212">
            <v>3573</v>
          </cell>
          <cell r="K212" t="str">
            <v>ind_pr</v>
          </cell>
          <cell r="L212">
            <v>4211.45</v>
          </cell>
          <cell r="M212">
            <v>0</v>
          </cell>
          <cell r="N212" t="str">
            <v>hosp_mg</v>
          </cell>
          <cell r="O212">
            <v>3888.38</v>
          </cell>
          <cell r="P212">
            <v>0</v>
          </cell>
        </row>
        <row r="213">
          <cell r="A213" t="str">
            <v>Mariopolis</v>
          </cell>
          <cell r="B213" t="str">
            <v>var_pr</v>
          </cell>
          <cell r="C213">
            <v>4729.62</v>
          </cell>
          <cell r="D213">
            <v>4729.62</v>
          </cell>
          <cell r="E213" t="str">
            <v>dist</v>
          </cell>
          <cell r="F213">
            <v>4764</v>
          </cell>
          <cell r="G213">
            <v>4515</v>
          </cell>
          <cell r="H213" t="str">
            <v>labo</v>
          </cell>
          <cell r="I213">
            <v>3763.08</v>
          </cell>
          <cell r="J213">
            <v>3573</v>
          </cell>
          <cell r="K213" t="str">
            <v>ind_pr</v>
          </cell>
          <cell r="L213">
            <v>4211.45</v>
          </cell>
          <cell r="M213">
            <v>0</v>
          </cell>
          <cell r="N213" t="str">
            <v>hosp_pb</v>
          </cell>
          <cell r="O213">
            <v>1760</v>
          </cell>
          <cell r="P213">
            <v>0</v>
          </cell>
        </row>
        <row r="214">
          <cell r="A214" t="str">
            <v>Maripa</v>
          </cell>
          <cell r="B214" t="str">
            <v>var_op</v>
          </cell>
          <cell r="C214">
            <v>4410</v>
          </cell>
          <cell r="D214">
            <v>4219</v>
          </cell>
          <cell r="E214" t="str">
            <v>dist</v>
          </cell>
          <cell r="F214">
            <v>4764</v>
          </cell>
          <cell r="G214">
            <v>4515</v>
          </cell>
          <cell r="H214" t="str">
            <v>labo</v>
          </cell>
          <cell r="I214">
            <v>3763.08</v>
          </cell>
          <cell r="J214">
            <v>3573</v>
          </cell>
          <cell r="K214" t="str">
            <v>ind_pr</v>
          </cell>
          <cell r="L214">
            <v>4211.45</v>
          </cell>
          <cell r="M214">
            <v>0</v>
          </cell>
          <cell r="N214">
            <v>0</v>
          </cell>
          <cell r="O214" t="e">
            <v>#N/A</v>
          </cell>
          <cell r="P214" t="e">
            <v>#N/A</v>
          </cell>
        </row>
        <row r="215">
          <cell r="A215" t="str">
            <v>Marmeleiro</v>
          </cell>
          <cell r="B215" t="str">
            <v>var_pr</v>
          </cell>
          <cell r="C215">
            <v>4729.62</v>
          </cell>
          <cell r="D215">
            <v>4729.62</v>
          </cell>
          <cell r="E215" t="str">
            <v>dist</v>
          </cell>
          <cell r="F215">
            <v>4764</v>
          </cell>
          <cell r="G215">
            <v>4515</v>
          </cell>
          <cell r="H215" t="str">
            <v>labo</v>
          </cell>
          <cell r="I215">
            <v>3763.08</v>
          </cell>
          <cell r="J215">
            <v>3573</v>
          </cell>
          <cell r="K215" t="str">
            <v>ind_pr</v>
          </cell>
          <cell r="L215">
            <v>4211.45</v>
          </cell>
          <cell r="M215">
            <v>0</v>
          </cell>
          <cell r="N215" t="str">
            <v>hosp_sudpr</v>
          </cell>
          <cell r="O215">
            <v>1760</v>
          </cell>
          <cell r="P215">
            <v>0</v>
          </cell>
        </row>
        <row r="216">
          <cell r="A216" t="str">
            <v>Marquinho</v>
          </cell>
          <cell r="B216" t="str">
            <v>var_pr</v>
          </cell>
          <cell r="C216">
            <v>4729.62</v>
          </cell>
          <cell r="D216">
            <v>4729.62</v>
          </cell>
          <cell r="E216" t="str">
            <v>dist</v>
          </cell>
          <cell r="F216">
            <v>4764</v>
          </cell>
          <cell r="G216">
            <v>4515</v>
          </cell>
          <cell r="H216" t="str">
            <v>labo</v>
          </cell>
          <cell r="I216">
            <v>3763.08</v>
          </cell>
          <cell r="J216">
            <v>3573</v>
          </cell>
          <cell r="K216" t="str">
            <v>ind_pr</v>
          </cell>
          <cell r="L216">
            <v>4211.45</v>
          </cell>
          <cell r="M216">
            <v>0</v>
          </cell>
          <cell r="N216" t="str">
            <v>hosp_co</v>
          </cell>
          <cell r="O216">
            <v>3036.29</v>
          </cell>
          <cell r="P216">
            <v>0</v>
          </cell>
        </row>
        <row r="217">
          <cell r="A217" t="str">
            <v>Marumbi</v>
          </cell>
          <cell r="B217" t="str">
            <v>var_ld</v>
          </cell>
          <cell r="C217">
            <v>4750</v>
          </cell>
          <cell r="D217">
            <v>4527</v>
          </cell>
          <cell r="E217" t="str">
            <v>dist</v>
          </cell>
          <cell r="F217">
            <v>4764</v>
          </cell>
          <cell r="G217">
            <v>4515</v>
          </cell>
          <cell r="H217" t="str">
            <v>labo</v>
          </cell>
          <cell r="I217">
            <v>3763.08</v>
          </cell>
          <cell r="J217">
            <v>3573</v>
          </cell>
          <cell r="K217" t="str">
            <v>ind_pr</v>
          </cell>
          <cell r="L217">
            <v>4211.45</v>
          </cell>
          <cell r="M217">
            <v>0</v>
          </cell>
          <cell r="N217">
            <v>0</v>
          </cell>
          <cell r="O217" t="e">
            <v>#N/A</v>
          </cell>
          <cell r="P217" t="e">
            <v>#N/A</v>
          </cell>
        </row>
        <row r="218">
          <cell r="A218" t="str">
            <v>Matelandia</v>
          </cell>
          <cell r="B218" t="str">
            <v>var_op</v>
          </cell>
          <cell r="C218">
            <v>4410</v>
          </cell>
          <cell r="D218">
            <v>4219</v>
          </cell>
          <cell r="E218" t="str">
            <v>dist</v>
          </cell>
          <cell r="F218">
            <v>4764</v>
          </cell>
          <cell r="G218">
            <v>4515</v>
          </cell>
          <cell r="H218" t="str">
            <v>labo</v>
          </cell>
          <cell r="I218">
            <v>3763.08</v>
          </cell>
          <cell r="J218">
            <v>3573</v>
          </cell>
          <cell r="K218" t="str">
            <v>ind_pr</v>
          </cell>
          <cell r="L218">
            <v>4211.45</v>
          </cell>
          <cell r="M218">
            <v>0</v>
          </cell>
          <cell r="N218" t="str">
            <v>hosp_pr</v>
          </cell>
          <cell r="O218">
            <v>4567</v>
          </cell>
          <cell r="P218">
            <v>0</v>
          </cell>
        </row>
        <row r="219">
          <cell r="A219" t="str">
            <v>Matinhos</v>
          </cell>
          <cell r="B219" t="str">
            <v>var_pr</v>
          </cell>
          <cell r="C219">
            <v>4729.62</v>
          </cell>
          <cell r="D219">
            <v>4729.62</v>
          </cell>
          <cell r="E219" t="str">
            <v>dist</v>
          </cell>
          <cell r="F219">
            <v>4764</v>
          </cell>
          <cell r="G219">
            <v>4515</v>
          </cell>
          <cell r="H219" t="str">
            <v>labo</v>
          </cell>
          <cell r="I219">
            <v>3763.08</v>
          </cell>
          <cell r="J219">
            <v>3573</v>
          </cell>
          <cell r="K219" t="str">
            <v>ind_pr</v>
          </cell>
          <cell r="L219">
            <v>4211.45</v>
          </cell>
          <cell r="M219">
            <v>0</v>
          </cell>
          <cell r="N219" t="str">
            <v>hosp_pr</v>
          </cell>
          <cell r="O219">
            <v>4567</v>
          </cell>
          <cell r="P219">
            <v>0</v>
          </cell>
        </row>
        <row r="220">
          <cell r="A220" t="str">
            <v>Mato Rico</v>
          </cell>
          <cell r="B220" t="str">
            <v>var_pr</v>
          </cell>
          <cell r="C220">
            <v>4729.62</v>
          </cell>
          <cell r="D220">
            <v>4729.62</v>
          </cell>
          <cell r="E220" t="str">
            <v>dist</v>
          </cell>
          <cell r="F220">
            <v>4764</v>
          </cell>
          <cell r="G220">
            <v>4515</v>
          </cell>
          <cell r="H220" t="str">
            <v>labo</v>
          </cell>
          <cell r="I220">
            <v>3763.08</v>
          </cell>
          <cell r="J220">
            <v>3573</v>
          </cell>
          <cell r="K220" t="str">
            <v>ind_pr</v>
          </cell>
          <cell r="L220">
            <v>4211.45</v>
          </cell>
          <cell r="M220">
            <v>0</v>
          </cell>
          <cell r="N220" t="str">
            <v>hosp_co</v>
          </cell>
          <cell r="O220">
            <v>3036.29</v>
          </cell>
          <cell r="P220">
            <v>0</v>
          </cell>
        </row>
        <row r="221">
          <cell r="A221" t="str">
            <v>Maua da Serra</v>
          </cell>
          <cell r="B221" t="str">
            <v>var_pr</v>
          </cell>
          <cell r="C221">
            <v>4729.62</v>
          </cell>
          <cell r="D221">
            <v>4729.62</v>
          </cell>
          <cell r="E221" t="str">
            <v>dist</v>
          </cell>
          <cell r="F221">
            <v>4764</v>
          </cell>
          <cell r="G221">
            <v>4515</v>
          </cell>
          <cell r="H221" t="str">
            <v>labo</v>
          </cell>
          <cell r="I221">
            <v>3763.08</v>
          </cell>
          <cell r="J221">
            <v>3573</v>
          </cell>
          <cell r="K221" t="str">
            <v>ind_pr</v>
          </cell>
          <cell r="L221">
            <v>4211.45</v>
          </cell>
          <cell r="M221">
            <v>0</v>
          </cell>
          <cell r="N221">
            <v>0</v>
          </cell>
          <cell r="O221" t="e">
            <v>#N/A</v>
          </cell>
          <cell r="P221" t="e">
            <v>#N/A</v>
          </cell>
        </row>
        <row r="222">
          <cell r="A222" t="str">
            <v>Medianeira</v>
          </cell>
          <cell r="B222" t="str">
            <v>var_op</v>
          </cell>
          <cell r="C222">
            <v>4410</v>
          </cell>
          <cell r="D222">
            <v>4219</v>
          </cell>
          <cell r="E222" t="str">
            <v>dist</v>
          </cell>
          <cell r="F222">
            <v>4764</v>
          </cell>
          <cell r="G222">
            <v>4515</v>
          </cell>
          <cell r="H222" t="str">
            <v>labo</v>
          </cell>
          <cell r="I222">
            <v>3763.08</v>
          </cell>
          <cell r="J222">
            <v>3573</v>
          </cell>
          <cell r="K222" t="str">
            <v>ind_pr</v>
          </cell>
          <cell r="L222">
            <v>4211.45</v>
          </cell>
          <cell r="M222">
            <v>0</v>
          </cell>
          <cell r="N222" t="str">
            <v>hosp_pr</v>
          </cell>
          <cell r="O222">
            <v>4567</v>
          </cell>
          <cell r="P222">
            <v>0</v>
          </cell>
        </row>
        <row r="223">
          <cell r="A223" t="str">
            <v>Mercedes</v>
          </cell>
          <cell r="B223" t="str">
            <v>var_op</v>
          </cell>
          <cell r="C223">
            <v>4410</v>
          </cell>
          <cell r="D223">
            <v>4219</v>
          </cell>
          <cell r="E223" t="str">
            <v>dist</v>
          </cell>
          <cell r="F223">
            <v>4764</v>
          </cell>
          <cell r="G223">
            <v>4515</v>
          </cell>
          <cell r="H223" t="str">
            <v>labo</v>
          </cell>
          <cell r="I223">
            <v>3763.08</v>
          </cell>
          <cell r="J223">
            <v>3573</v>
          </cell>
          <cell r="K223" t="str">
            <v>ind_pr</v>
          </cell>
          <cell r="L223">
            <v>4211.45</v>
          </cell>
          <cell r="M223">
            <v>0</v>
          </cell>
          <cell r="N223" t="str">
            <v>hosp_pr</v>
          </cell>
          <cell r="O223">
            <v>4567</v>
          </cell>
          <cell r="P223">
            <v>0</v>
          </cell>
        </row>
        <row r="224">
          <cell r="A224" t="str">
            <v>Mirador</v>
          </cell>
          <cell r="B224" t="str">
            <v>var_par</v>
          </cell>
          <cell r="C224">
            <v>4846</v>
          </cell>
          <cell r="D224">
            <v>4846</v>
          </cell>
          <cell r="E224" t="str">
            <v>dist</v>
          </cell>
          <cell r="F224">
            <v>4764</v>
          </cell>
          <cell r="G224">
            <v>4515</v>
          </cell>
          <cell r="H224" t="str">
            <v>labo</v>
          </cell>
          <cell r="I224">
            <v>3763.08</v>
          </cell>
          <cell r="J224">
            <v>3573</v>
          </cell>
          <cell r="K224" t="str">
            <v>ind_pr</v>
          </cell>
          <cell r="L224">
            <v>4211.45</v>
          </cell>
          <cell r="M224">
            <v>0</v>
          </cell>
          <cell r="N224">
            <v>0</v>
          </cell>
          <cell r="O224" t="e">
            <v>#N/A</v>
          </cell>
          <cell r="P224" t="e">
            <v>#N/A</v>
          </cell>
        </row>
        <row r="225">
          <cell r="A225" t="str">
            <v>Miraselva</v>
          </cell>
          <cell r="B225" t="str">
            <v>var_pr</v>
          </cell>
          <cell r="C225">
            <v>4729.62</v>
          </cell>
          <cell r="D225">
            <v>4729.62</v>
          </cell>
          <cell r="E225" t="str">
            <v>dist</v>
          </cell>
          <cell r="F225">
            <v>4764</v>
          </cell>
          <cell r="G225">
            <v>4515</v>
          </cell>
          <cell r="H225" t="str">
            <v>labo</v>
          </cell>
          <cell r="I225">
            <v>3763.08</v>
          </cell>
          <cell r="J225">
            <v>3573</v>
          </cell>
          <cell r="K225" t="str">
            <v>ind_pr</v>
          </cell>
          <cell r="L225">
            <v>4211.45</v>
          </cell>
          <cell r="M225">
            <v>0</v>
          </cell>
          <cell r="N225">
            <v>0</v>
          </cell>
          <cell r="O225" t="e">
            <v>#N/A</v>
          </cell>
          <cell r="P225" t="e">
            <v>#N/A</v>
          </cell>
        </row>
        <row r="226">
          <cell r="A226" t="str">
            <v>Missal</v>
          </cell>
          <cell r="B226" t="str">
            <v>var_op</v>
          </cell>
          <cell r="C226">
            <v>4410</v>
          </cell>
          <cell r="D226">
            <v>4219</v>
          </cell>
          <cell r="E226" t="str">
            <v>dist</v>
          </cell>
          <cell r="F226">
            <v>4764</v>
          </cell>
          <cell r="G226">
            <v>4515</v>
          </cell>
          <cell r="H226" t="str">
            <v>labo</v>
          </cell>
          <cell r="I226">
            <v>3763.08</v>
          </cell>
          <cell r="J226">
            <v>3573</v>
          </cell>
          <cell r="K226" t="str">
            <v>ind_pr</v>
          </cell>
          <cell r="L226">
            <v>4211.45</v>
          </cell>
          <cell r="M226">
            <v>0</v>
          </cell>
          <cell r="N226" t="str">
            <v>hosp_pr</v>
          </cell>
          <cell r="O226">
            <v>4567</v>
          </cell>
          <cell r="P226">
            <v>0</v>
          </cell>
        </row>
        <row r="227">
          <cell r="A227" t="str">
            <v>Moreira Sales</v>
          </cell>
          <cell r="B227" t="str">
            <v>var_pr</v>
          </cell>
          <cell r="C227">
            <v>4729.62</v>
          </cell>
          <cell r="D227">
            <v>4729.62</v>
          </cell>
          <cell r="E227" t="str">
            <v>dist</v>
          </cell>
          <cell r="F227">
            <v>4764</v>
          </cell>
          <cell r="G227">
            <v>4515</v>
          </cell>
          <cell r="H227" t="str">
            <v>labo</v>
          </cell>
          <cell r="I227">
            <v>3763.08</v>
          </cell>
          <cell r="J227">
            <v>3573</v>
          </cell>
          <cell r="K227" t="str">
            <v>ind_pr</v>
          </cell>
          <cell r="L227">
            <v>4211.45</v>
          </cell>
          <cell r="M227">
            <v>0</v>
          </cell>
          <cell r="N227" t="str">
            <v>hosp_cm</v>
          </cell>
          <cell r="O227">
            <v>4133.2</v>
          </cell>
          <cell r="P227">
            <v>0</v>
          </cell>
        </row>
        <row r="228">
          <cell r="A228" t="str">
            <v>Morretes</v>
          </cell>
          <cell r="B228" t="str">
            <v>var_pr</v>
          </cell>
          <cell r="C228">
            <v>4729.62</v>
          </cell>
          <cell r="D228">
            <v>4729.62</v>
          </cell>
          <cell r="E228" t="str">
            <v>dist</v>
          </cell>
          <cell r="F228">
            <v>4764</v>
          </cell>
          <cell r="G228">
            <v>4515</v>
          </cell>
          <cell r="H228" t="str">
            <v>labo</v>
          </cell>
          <cell r="I228">
            <v>3763.08</v>
          </cell>
          <cell r="J228">
            <v>3573</v>
          </cell>
          <cell r="K228" t="str">
            <v>ind_pr</v>
          </cell>
          <cell r="L228">
            <v>4211.45</v>
          </cell>
          <cell r="M228">
            <v>0</v>
          </cell>
          <cell r="N228" t="str">
            <v>hosp_pr</v>
          </cell>
          <cell r="O228">
            <v>4567</v>
          </cell>
          <cell r="P228">
            <v>0</v>
          </cell>
        </row>
        <row r="229">
          <cell r="A229" t="str">
            <v>Munhoz de Melo</v>
          </cell>
          <cell r="B229" t="str">
            <v>var_pr</v>
          </cell>
          <cell r="C229">
            <v>4729.62</v>
          </cell>
          <cell r="D229">
            <v>4729.62</v>
          </cell>
          <cell r="E229" t="str">
            <v>dist</v>
          </cell>
          <cell r="F229">
            <v>4764</v>
          </cell>
          <cell r="G229">
            <v>4515</v>
          </cell>
          <cell r="H229" t="str">
            <v>labo</v>
          </cell>
          <cell r="I229">
            <v>3763.08</v>
          </cell>
          <cell r="J229">
            <v>3573</v>
          </cell>
          <cell r="K229" t="str">
            <v>ind_pr</v>
          </cell>
          <cell r="L229">
            <v>4211.45</v>
          </cell>
          <cell r="M229">
            <v>0</v>
          </cell>
          <cell r="N229" t="str">
            <v>hosp_mg</v>
          </cell>
          <cell r="O229">
            <v>3888.38</v>
          </cell>
          <cell r="P229">
            <v>0</v>
          </cell>
        </row>
        <row r="230">
          <cell r="A230" t="str">
            <v>Nossa Senhora das Graças</v>
          </cell>
          <cell r="B230" t="str">
            <v>var_pr</v>
          </cell>
          <cell r="C230">
            <v>4729.62</v>
          </cell>
          <cell r="D230">
            <v>4729.62</v>
          </cell>
          <cell r="E230" t="str">
            <v>dist</v>
          </cell>
          <cell r="F230">
            <v>4764</v>
          </cell>
          <cell r="G230">
            <v>4515</v>
          </cell>
          <cell r="H230" t="str">
            <v>labo</v>
          </cell>
          <cell r="I230">
            <v>3763.08</v>
          </cell>
          <cell r="J230">
            <v>3573</v>
          </cell>
          <cell r="K230" t="str">
            <v>ind_pr</v>
          </cell>
          <cell r="L230">
            <v>4211.45</v>
          </cell>
          <cell r="M230">
            <v>0</v>
          </cell>
          <cell r="N230" t="str">
            <v>hosp_mg</v>
          </cell>
          <cell r="O230">
            <v>3888.38</v>
          </cell>
          <cell r="P230">
            <v>0</v>
          </cell>
        </row>
        <row r="231">
          <cell r="A231" t="str">
            <v>Nova Aliança do Ivai</v>
          </cell>
          <cell r="B231" t="str">
            <v>var_par</v>
          </cell>
          <cell r="C231">
            <v>4846</v>
          </cell>
          <cell r="D231">
            <v>4846</v>
          </cell>
          <cell r="E231" t="str">
            <v>dist</v>
          </cell>
          <cell r="F231">
            <v>4764</v>
          </cell>
          <cell r="G231">
            <v>4515</v>
          </cell>
          <cell r="H231" t="str">
            <v>labo</v>
          </cell>
          <cell r="I231">
            <v>3763.08</v>
          </cell>
          <cell r="J231">
            <v>3573</v>
          </cell>
          <cell r="K231" t="str">
            <v>ind_pr</v>
          </cell>
          <cell r="L231">
            <v>4211.45</v>
          </cell>
          <cell r="M231">
            <v>0</v>
          </cell>
          <cell r="N231">
            <v>0</v>
          </cell>
          <cell r="O231" t="e">
            <v>#N/A</v>
          </cell>
          <cell r="P231" t="e">
            <v>#N/A</v>
          </cell>
        </row>
        <row r="232">
          <cell r="A232" t="str">
            <v>Nova America da Colina</v>
          </cell>
          <cell r="B232" t="str">
            <v>var_pr</v>
          </cell>
          <cell r="C232">
            <v>4729.62</v>
          </cell>
          <cell r="D232">
            <v>4729.62</v>
          </cell>
          <cell r="E232" t="str">
            <v>dist</v>
          </cell>
          <cell r="F232">
            <v>4764</v>
          </cell>
          <cell r="G232">
            <v>4515</v>
          </cell>
          <cell r="H232" t="str">
            <v>labo</v>
          </cell>
          <cell r="I232">
            <v>3763.08</v>
          </cell>
          <cell r="J232">
            <v>3573</v>
          </cell>
          <cell r="K232" t="str">
            <v>ind_pr</v>
          </cell>
          <cell r="L232">
            <v>4211.45</v>
          </cell>
          <cell r="M232">
            <v>0</v>
          </cell>
          <cell r="N232">
            <v>0</v>
          </cell>
          <cell r="O232" t="e">
            <v>#N/A</v>
          </cell>
          <cell r="P232" t="e">
            <v>#N/A</v>
          </cell>
        </row>
        <row r="233">
          <cell r="A233" t="str">
            <v>Nova Aurora</v>
          </cell>
          <cell r="B233" t="str">
            <v>var_op</v>
          </cell>
          <cell r="C233">
            <v>4410</v>
          </cell>
          <cell r="D233">
            <v>4219</v>
          </cell>
          <cell r="E233" t="str">
            <v>dist</v>
          </cell>
          <cell r="F233">
            <v>4764</v>
          </cell>
          <cell r="G233">
            <v>4515</v>
          </cell>
          <cell r="H233" t="str">
            <v>labo</v>
          </cell>
          <cell r="I233">
            <v>3763.08</v>
          </cell>
          <cell r="J233">
            <v>3573</v>
          </cell>
          <cell r="K233" t="str">
            <v>ind_pr</v>
          </cell>
          <cell r="L233">
            <v>4211.45</v>
          </cell>
          <cell r="M233">
            <v>0</v>
          </cell>
          <cell r="N233">
            <v>0</v>
          </cell>
          <cell r="O233" t="e">
            <v>#N/A</v>
          </cell>
          <cell r="P233" t="e">
            <v>#N/A</v>
          </cell>
        </row>
        <row r="234">
          <cell r="A234" t="str">
            <v>Nova Cantu</v>
          </cell>
          <cell r="B234" t="str">
            <v>var_pr</v>
          </cell>
          <cell r="C234">
            <v>4729.62</v>
          </cell>
          <cell r="D234">
            <v>4729.62</v>
          </cell>
          <cell r="E234" t="str">
            <v>dist</v>
          </cell>
          <cell r="F234">
            <v>4764</v>
          </cell>
          <cell r="G234">
            <v>4515</v>
          </cell>
          <cell r="H234" t="str">
            <v>labo</v>
          </cell>
          <cell r="I234">
            <v>3763.08</v>
          </cell>
          <cell r="J234">
            <v>3573</v>
          </cell>
          <cell r="K234" t="str">
            <v>ind_pr</v>
          </cell>
          <cell r="L234">
            <v>4211.45</v>
          </cell>
          <cell r="M234">
            <v>0</v>
          </cell>
          <cell r="N234" t="str">
            <v>hosp_cm</v>
          </cell>
          <cell r="O234">
            <v>4133.2</v>
          </cell>
          <cell r="P234">
            <v>0</v>
          </cell>
        </row>
        <row r="235">
          <cell r="A235" t="str">
            <v>Nova Esperança</v>
          </cell>
          <cell r="B235" t="str">
            <v>var_par</v>
          </cell>
          <cell r="C235">
            <v>4846</v>
          </cell>
          <cell r="D235">
            <v>4846</v>
          </cell>
          <cell r="E235" t="str">
            <v>dist</v>
          </cell>
          <cell r="F235">
            <v>4764</v>
          </cell>
          <cell r="G235">
            <v>4515</v>
          </cell>
          <cell r="H235" t="str">
            <v>labo</v>
          </cell>
          <cell r="I235">
            <v>3763.08</v>
          </cell>
          <cell r="J235">
            <v>3573</v>
          </cell>
          <cell r="K235" t="str">
            <v>ind_pr</v>
          </cell>
          <cell r="L235">
            <v>4211.45</v>
          </cell>
          <cell r="M235">
            <v>0</v>
          </cell>
          <cell r="N235" t="str">
            <v>hosp_mg</v>
          </cell>
          <cell r="O235">
            <v>3888.38</v>
          </cell>
          <cell r="P235">
            <v>0</v>
          </cell>
        </row>
        <row r="236">
          <cell r="A236" t="str">
            <v>Nova Esperança do Sudoeste</v>
          </cell>
          <cell r="B236" t="str">
            <v>var_pr</v>
          </cell>
          <cell r="C236">
            <v>4729.62</v>
          </cell>
          <cell r="D236">
            <v>4729.62</v>
          </cell>
          <cell r="E236" t="str">
            <v>dist</v>
          </cell>
          <cell r="F236">
            <v>4764</v>
          </cell>
          <cell r="G236">
            <v>4515</v>
          </cell>
          <cell r="H236" t="str">
            <v>labo</v>
          </cell>
          <cell r="I236">
            <v>3763.08</v>
          </cell>
          <cell r="J236">
            <v>3573</v>
          </cell>
          <cell r="K236" t="str">
            <v>ind_pr</v>
          </cell>
          <cell r="L236">
            <v>4211.45</v>
          </cell>
          <cell r="M236">
            <v>0</v>
          </cell>
          <cell r="N236" t="str">
            <v>hosp_sudpr</v>
          </cell>
          <cell r="O236">
            <v>1760</v>
          </cell>
          <cell r="P236">
            <v>0</v>
          </cell>
        </row>
        <row r="237">
          <cell r="A237" t="str">
            <v>Nova Fatima</v>
          </cell>
          <cell r="B237" t="str">
            <v>var_pr</v>
          </cell>
          <cell r="C237">
            <v>4729.62</v>
          </cell>
          <cell r="D237">
            <v>4729.62</v>
          </cell>
          <cell r="E237" t="str">
            <v>dist</v>
          </cell>
          <cell r="F237">
            <v>4764</v>
          </cell>
          <cell r="G237">
            <v>4515</v>
          </cell>
          <cell r="H237" t="str">
            <v>labo</v>
          </cell>
          <cell r="I237">
            <v>3763.08</v>
          </cell>
          <cell r="J237">
            <v>3573</v>
          </cell>
          <cell r="K237" t="str">
            <v>ind_pr</v>
          </cell>
          <cell r="L237">
            <v>4211.45</v>
          </cell>
          <cell r="M237">
            <v>0</v>
          </cell>
          <cell r="N237">
            <v>0</v>
          </cell>
          <cell r="O237" t="e">
            <v>#N/A</v>
          </cell>
          <cell r="P237" t="e">
            <v>#N/A</v>
          </cell>
        </row>
        <row r="238">
          <cell r="A238" t="str">
            <v>Nova Laranjeiras</v>
          </cell>
          <cell r="B238" t="str">
            <v>var_op</v>
          </cell>
          <cell r="C238">
            <v>4410</v>
          </cell>
          <cell r="D238">
            <v>4219</v>
          </cell>
          <cell r="E238" t="str">
            <v>dist</v>
          </cell>
          <cell r="F238">
            <v>4764</v>
          </cell>
          <cell r="G238">
            <v>4515</v>
          </cell>
          <cell r="H238" t="str">
            <v>labo</v>
          </cell>
          <cell r="I238">
            <v>3763.08</v>
          </cell>
          <cell r="J238">
            <v>3573</v>
          </cell>
          <cell r="K238" t="str">
            <v>ind_pr</v>
          </cell>
          <cell r="L238">
            <v>4211.45</v>
          </cell>
          <cell r="M238">
            <v>0</v>
          </cell>
          <cell r="N238" t="str">
            <v>hosp_co</v>
          </cell>
          <cell r="O238">
            <v>3036.29</v>
          </cell>
          <cell r="P238">
            <v>0</v>
          </cell>
        </row>
        <row r="239">
          <cell r="A239" t="str">
            <v>Nova Londrina</v>
          </cell>
          <cell r="B239" t="str">
            <v>var_par</v>
          </cell>
          <cell r="C239">
            <v>4846</v>
          </cell>
          <cell r="D239">
            <v>4846</v>
          </cell>
          <cell r="E239" t="str">
            <v>dist</v>
          </cell>
          <cell r="F239">
            <v>4764</v>
          </cell>
          <cell r="G239">
            <v>4515</v>
          </cell>
          <cell r="H239" t="str">
            <v>labo</v>
          </cell>
          <cell r="I239">
            <v>3763.08</v>
          </cell>
          <cell r="J239">
            <v>3573</v>
          </cell>
          <cell r="K239" t="str">
            <v>ind_pr</v>
          </cell>
          <cell r="L239">
            <v>4211.45</v>
          </cell>
          <cell r="M239">
            <v>0</v>
          </cell>
          <cell r="N239">
            <v>0</v>
          </cell>
          <cell r="O239" t="e">
            <v>#N/A</v>
          </cell>
          <cell r="P239" t="e">
            <v>#N/A</v>
          </cell>
        </row>
        <row r="240">
          <cell r="A240" t="str">
            <v>Nova Olimpia</v>
          </cell>
          <cell r="B240" t="str">
            <v>var_pr</v>
          </cell>
          <cell r="C240">
            <v>4729.62</v>
          </cell>
          <cell r="D240">
            <v>4729.62</v>
          </cell>
          <cell r="E240" t="str">
            <v>dist</v>
          </cell>
          <cell r="F240">
            <v>4764</v>
          </cell>
          <cell r="G240">
            <v>4515</v>
          </cell>
          <cell r="H240" t="str">
            <v>labo</v>
          </cell>
          <cell r="I240">
            <v>3763.08</v>
          </cell>
          <cell r="J240">
            <v>3573</v>
          </cell>
          <cell r="K240" t="str">
            <v>ind_pr</v>
          </cell>
          <cell r="L240">
            <v>4211.45</v>
          </cell>
          <cell r="M240">
            <v>0</v>
          </cell>
          <cell r="N240" t="str">
            <v>hosp_umu</v>
          </cell>
          <cell r="O240">
            <v>2428.5500000000002</v>
          </cell>
          <cell r="P240">
            <v>0</v>
          </cell>
        </row>
        <row r="241">
          <cell r="A241" t="str">
            <v>Nova Prata do Iguaçu</v>
          </cell>
          <cell r="B241" t="str">
            <v>var_pr</v>
          </cell>
          <cell r="C241">
            <v>4729.62</v>
          </cell>
          <cell r="D241">
            <v>4729.62</v>
          </cell>
          <cell r="E241" t="str">
            <v>dist</v>
          </cell>
          <cell r="F241">
            <v>4764</v>
          </cell>
          <cell r="G241">
            <v>4515</v>
          </cell>
          <cell r="H241" t="str">
            <v>labo</v>
          </cell>
          <cell r="I241">
            <v>3763.08</v>
          </cell>
          <cell r="J241">
            <v>3573</v>
          </cell>
          <cell r="K241" t="str">
            <v>ind_pr</v>
          </cell>
          <cell r="L241">
            <v>4211.45</v>
          </cell>
          <cell r="M241">
            <v>0</v>
          </cell>
          <cell r="N241" t="str">
            <v>hosp_sudpr</v>
          </cell>
          <cell r="O241">
            <v>1760</v>
          </cell>
          <cell r="P241">
            <v>0</v>
          </cell>
        </row>
        <row r="242">
          <cell r="A242" t="str">
            <v>Nova Santa Barbara</v>
          </cell>
          <cell r="B242" t="str">
            <v>var_pr</v>
          </cell>
          <cell r="C242">
            <v>4729.62</v>
          </cell>
          <cell r="D242">
            <v>4729.62</v>
          </cell>
          <cell r="E242" t="str">
            <v>dist</v>
          </cell>
          <cell r="F242">
            <v>4764</v>
          </cell>
          <cell r="G242">
            <v>4515</v>
          </cell>
          <cell r="H242" t="str">
            <v>labo</v>
          </cell>
          <cell r="I242">
            <v>3763.08</v>
          </cell>
          <cell r="J242">
            <v>3573</v>
          </cell>
          <cell r="K242" t="str">
            <v>ind_pr</v>
          </cell>
          <cell r="L242">
            <v>4211.45</v>
          </cell>
          <cell r="M242">
            <v>0</v>
          </cell>
          <cell r="N242">
            <v>0</v>
          </cell>
          <cell r="O242" t="e">
            <v>#N/A</v>
          </cell>
          <cell r="P242" t="e">
            <v>#N/A</v>
          </cell>
        </row>
        <row r="243">
          <cell r="A243" t="str">
            <v>Nova Santa Rosa</v>
          </cell>
          <cell r="B243" t="str">
            <v>var_op</v>
          </cell>
          <cell r="C243">
            <v>4410</v>
          </cell>
          <cell r="D243">
            <v>4219</v>
          </cell>
          <cell r="E243" t="str">
            <v>dist</v>
          </cell>
          <cell r="F243">
            <v>4764</v>
          </cell>
          <cell r="G243">
            <v>4515</v>
          </cell>
          <cell r="H243" t="str">
            <v>labo</v>
          </cell>
          <cell r="I243">
            <v>3763.08</v>
          </cell>
          <cell r="J243">
            <v>3573</v>
          </cell>
          <cell r="K243" t="str">
            <v>ind_pr</v>
          </cell>
          <cell r="L243">
            <v>4211.45</v>
          </cell>
          <cell r="M243">
            <v>0</v>
          </cell>
          <cell r="N243" t="str">
            <v>hosp_pr</v>
          </cell>
          <cell r="O243">
            <v>4567</v>
          </cell>
          <cell r="P243">
            <v>0</v>
          </cell>
        </row>
        <row r="244">
          <cell r="A244" t="str">
            <v>Nova Tebas</v>
          </cell>
          <cell r="B244" t="str">
            <v>var_pr</v>
          </cell>
          <cell r="C244">
            <v>4729.62</v>
          </cell>
          <cell r="D244">
            <v>4729.62</v>
          </cell>
          <cell r="E244" t="str">
            <v>dist</v>
          </cell>
          <cell r="F244">
            <v>4764</v>
          </cell>
          <cell r="G244">
            <v>4515</v>
          </cell>
          <cell r="H244" t="str">
            <v>labo</v>
          </cell>
          <cell r="I244">
            <v>3763.08</v>
          </cell>
          <cell r="J244">
            <v>3573</v>
          </cell>
          <cell r="K244" t="str">
            <v>ind_pr</v>
          </cell>
          <cell r="L244">
            <v>4211.45</v>
          </cell>
          <cell r="M244">
            <v>0</v>
          </cell>
          <cell r="N244">
            <v>0</v>
          </cell>
          <cell r="O244" t="e">
            <v>#N/A</v>
          </cell>
          <cell r="P244" t="e">
            <v>#N/A</v>
          </cell>
        </row>
        <row r="245">
          <cell r="A245" t="str">
            <v>Novo Itacolomi</v>
          </cell>
          <cell r="B245" t="str">
            <v>var_pr</v>
          </cell>
          <cell r="C245">
            <v>4729.62</v>
          </cell>
          <cell r="D245">
            <v>4729.62</v>
          </cell>
          <cell r="E245" t="str">
            <v>dist</v>
          </cell>
          <cell r="F245">
            <v>4764</v>
          </cell>
          <cell r="G245">
            <v>4515</v>
          </cell>
          <cell r="H245" t="str">
            <v>labo</v>
          </cell>
          <cell r="I245">
            <v>3763.08</v>
          </cell>
          <cell r="J245">
            <v>3573</v>
          </cell>
          <cell r="K245" t="str">
            <v>ind_pr</v>
          </cell>
          <cell r="L245">
            <v>4211.45</v>
          </cell>
          <cell r="M245">
            <v>0</v>
          </cell>
          <cell r="N245">
            <v>0</v>
          </cell>
          <cell r="O245" t="e">
            <v>#N/A</v>
          </cell>
          <cell r="P245" t="e">
            <v>#N/A</v>
          </cell>
        </row>
        <row r="246">
          <cell r="A246" t="str">
            <v>Ortigueira</v>
          </cell>
          <cell r="B246" t="str">
            <v>var_pr</v>
          </cell>
          <cell r="C246">
            <v>4729.62</v>
          </cell>
          <cell r="D246">
            <v>4729.62</v>
          </cell>
          <cell r="E246" t="str">
            <v>dist</v>
          </cell>
          <cell r="F246">
            <v>4764</v>
          </cell>
          <cell r="G246">
            <v>4515</v>
          </cell>
          <cell r="H246" t="str">
            <v>labo</v>
          </cell>
          <cell r="I246">
            <v>3763.08</v>
          </cell>
          <cell r="J246">
            <v>3573</v>
          </cell>
          <cell r="K246" t="str">
            <v>ind_pr</v>
          </cell>
          <cell r="L246">
            <v>4211.45</v>
          </cell>
          <cell r="M246">
            <v>0</v>
          </cell>
          <cell r="N246" t="str">
            <v>hosp_pr</v>
          </cell>
          <cell r="O246">
            <v>4567</v>
          </cell>
          <cell r="P246">
            <v>0</v>
          </cell>
        </row>
        <row r="247">
          <cell r="A247" t="str">
            <v>Ourizona</v>
          </cell>
          <cell r="B247" t="str">
            <v>var_pr</v>
          </cell>
          <cell r="C247">
            <v>4729.62</v>
          </cell>
          <cell r="D247">
            <v>4729.62</v>
          </cell>
          <cell r="E247" t="str">
            <v>dist</v>
          </cell>
          <cell r="F247">
            <v>4764</v>
          </cell>
          <cell r="G247">
            <v>4515</v>
          </cell>
          <cell r="H247" t="str">
            <v>labo</v>
          </cell>
          <cell r="I247">
            <v>3763.08</v>
          </cell>
          <cell r="J247">
            <v>3573</v>
          </cell>
          <cell r="K247" t="str">
            <v>ind_pr</v>
          </cell>
          <cell r="L247">
            <v>4211.45</v>
          </cell>
          <cell r="M247">
            <v>0</v>
          </cell>
          <cell r="N247" t="str">
            <v>hosp_mg</v>
          </cell>
          <cell r="O247">
            <v>3888.38</v>
          </cell>
          <cell r="P247">
            <v>0</v>
          </cell>
        </row>
        <row r="248">
          <cell r="A248" t="str">
            <v>Ouro Verde do Oeste</v>
          </cell>
          <cell r="B248" t="str">
            <v>var_op</v>
          </cell>
          <cell r="C248">
            <v>4410</v>
          </cell>
          <cell r="D248">
            <v>4219</v>
          </cell>
          <cell r="E248" t="str">
            <v>dist</v>
          </cell>
          <cell r="F248">
            <v>4764</v>
          </cell>
          <cell r="G248">
            <v>4515</v>
          </cell>
          <cell r="H248" t="str">
            <v>labo</v>
          </cell>
          <cell r="I248">
            <v>3763.08</v>
          </cell>
          <cell r="J248">
            <v>3573</v>
          </cell>
          <cell r="K248" t="str">
            <v>ind_pr</v>
          </cell>
          <cell r="L248">
            <v>4211.45</v>
          </cell>
          <cell r="M248">
            <v>0</v>
          </cell>
          <cell r="N248" t="str">
            <v>hosp_pr</v>
          </cell>
          <cell r="O248">
            <v>4567</v>
          </cell>
          <cell r="P248">
            <v>0</v>
          </cell>
        </row>
        <row r="249">
          <cell r="A249" t="str">
            <v>Paiçandu</v>
          </cell>
          <cell r="B249" t="str">
            <v>var_pr</v>
          </cell>
          <cell r="C249">
            <v>4729.62</v>
          </cell>
          <cell r="D249">
            <v>4729.62</v>
          </cell>
          <cell r="E249" t="str">
            <v>dist</v>
          </cell>
          <cell r="F249">
            <v>4764</v>
          </cell>
          <cell r="G249">
            <v>4515</v>
          </cell>
          <cell r="H249" t="str">
            <v>labo</v>
          </cell>
          <cell r="I249">
            <v>3763.08</v>
          </cell>
          <cell r="J249">
            <v>3573</v>
          </cell>
          <cell r="K249" t="str">
            <v>ind_pr</v>
          </cell>
          <cell r="L249">
            <v>4211.45</v>
          </cell>
          <cell r="M249">
            <v>0</v>
          </cell>
          <cell r="N249" t="str">
            <v>hosp_mg</v>
          </cell>
          <cell r="O249">
            <v>3888.38</v>
          </cell>
          <cell r="P249">
            <v>0</v>
          </cell>
        </row>
        <row r="250">
          <cell r="A250" t="str">
            <v>Palmas</v>
          </cell>
          <cell r="B250" t="str">
            <v>var_pr</v>
          </cell>
          <cell r="C250">
            <v>4729.62</v>
          </cell>
          <cell r="D250">
            <v>4729.62</v>
          </cell>
          <cell r="E250" t="str">
            <v>dist</v>
          </cell>
          <cell r="F250">
            <v>4764</v>
          </cell>
          <cell r="G250">
            <v>4515</v>
          </cell>
          <cell r="H250" t="str">
            <v>labo</v>
          </cell>
          <cell r="I250">
            <v>3763.08</v>
          </cell>
          <cell r="J250">
            <v>3573</v>
          </cell>
          <cell r="K250" t="str">
            <v>ind_pr</v>
          </cell>
          <cell r="L250">
            <v>4211.45</v>
          </cell>
          <cell r="M250">
            <v>0</v>
          </cell>
          <cell r="N250" t="str">
            <v>hosp_pb</v>
          </cell>
          <cell r="O250">
            <v>1760</v>
          </cell>
          <cell r="P250">
            <v>0</v>
          </cell>
        </row>
        <row r="251">
          <cell r="A251" t="str">
            <v>Palmeira</v>
          </cell>
          <cell r="B251" t="str">
            <v>var_pr</v>
          </cell>
          <cell r="C251">
            <v>4729.62</v>
          </cell>
          <cell r="D251">
            <v>4729.62</v>
          </cell>
          <cell r="E251" t="str">
            <v>dist</v>
          </cell>
          <cell r="F251">
            <v>4764</v>
          </cell>
          <cell r="G251">
            <v>4515</v>
          </cell>
          <cell r="H251" t="str">
            <v>labo</v>
          </cell>
          <cell r="I251">
            <v>3763.08</v>
          </cell>
          <cell r="J251">
            <v>3573</v>
          </cell>
          <cell r="K251" t="str">
            <v>ind_pr</v>
          </cell>
          <cell r="L251">
            <v>4211.45</v>
          </cell>
          <cell r="M251">
            <v>0</v>
          </cell>
          <cell r="N251">
            <v>0</v>
          </cell>
          <cell r="O251" t="e">
            <v>#N/A</v>
          </cell>
          <cell r="P251" t="e">
            <v>#N/A</v>
          </cell>
        </row>
        <row r="252">
          <cell r="A252" t="str">
            <v>Palmital</v>
          </cell>
          <cell r="B252" t="str">
            <v>var_pr</v>
          </cell>
          <cell r="C252">
            <v>4729.62</v>
          </cell>
          <cell r="D252">
            <v>4729.62</v>
          </cell>
          <cell r="E252" t="str">
            <v>dist</v>
          </cell>
          <cell r="F252">
            <v>4764</v>
          </cell>
          <cell r="G252">
            <v>4515</v>
          </cell>
          <cell r="H252" t="str">
            <v>labo</v>
          </cell>
          <cell r="I252">
            <v>3763.08</v>
          </cell>
          <cell r="J252">
            <v>3573</v>
          </cell>
          <cell r="K252" t="str">
            <v>ind_pr</v>
          </cell>
          <cell r="L252">
            <v>4211.45</v>
          </cell>
          <cell r="M252">
            <v>0</v>
          </cell>
          <cell r="N252" t="str">
            <v>hosp_co</v>
          </cell>
          <cell r="O252">
            <v>3036.29</v>
          </cell>
          <cell r="P252">
            <v>0</v>
          </cell>
        </row>
        <row r="253">
          <cell r="A253" t="str">
            <v>Palotina</v>
          </cell>
          <cell r="B253" t="str">
            <v>var_op</v>
          </cell>
          <cell r="C253">
            <v>4410</v>
          </cell>
          <cell r="D253">
            <v>4219</v>
          </cell>
          <cell r="E253" t="str">
            <v>dist</v>
          </cell>
          <cell r="F253">
            <v>4764</v>
          </cell>
          <cell r="G253">
            <v>4515</v>
          </cell>
          <cell r="H253" t="str">
            <v>labo</v>
          </cell>
          <cell r="I253">
            <v>3763.08</v>
          </cell>
          <cell r="J253">
            <v>3573</v>
          </cell>
          <cell r="K253" t="str">
            <v>ind_pr</v>
          </cell>
          <cell r="L253">
            <v>4211.45</v>
          </cell>
          <cell r="M253">
            <v>0</v>
          </cell>
          <cell r="N253" t="str">
            <v>hosp_pr</v>
          </cell>
          <cell r="O253">
            <v>4567</v>
          </cell>
          <cell r="P253">
            <v>0</v>
          </cell>
        </row>
        <row r="254">
          <cell r="A254" t="str">
            <v>Paraiso do Norte</v>
          </cell>
          <cell r="B254" t="str">
            <v>var_par</v>
          </cell>
          <cell r="C254">
            <v>4846</v>
          </cell>
          <cell r="D254">
            <v>4846</v>
          </cell>
          <cell r="E254" t="str">
            <v>dist</v>
          </cell>
          <cell r="F254">
            <v>4764</v>
          </cell>
          <cell r="G254">
            <v>4515</v>
          </cell>
          <cell r="H254" t="str">
            <v>labo</v>
          </cell>
          <cell r="I254">
            <v>3763.08</v>
          </cell>
          <cell r="J254">
            <v>3573</v>
          </cell>
          <cell r="K254" t="str">
            <v>ind_pr</v>
          </cell>
          <cell r="L254">
            <v>4211.45</v>
          </cell>
          <cell r="M254">
            <v>0</v>
          </cell>
          <cell r="N254">
            <v>0</v>
          </cell>
          <cell r="O254" t="e">
            <v>#N/A</v>
          </cell>
          <cell r="P254" t="e">
            <v>#N/A</v>
          </cell>
        </row>
        <row r="255">
          <cell r="A255" t="str">
            <v>Paranacity</v>
          </cell>
          <cell r="B255" t="str">
            <v>var_par</v>
          </cell>
          <cell r="C255">
            <v>4846</v>
          </cell>
          <cell r="D255">
            <v>4846</v>
          </cell>
          <cell r="E255" t="str">
            <v>dist</v>
          </cell>
          <cell r="F255">
            <v>4764</v>
          </cell>
          <cell r="G255">
            <v>4515</v>
          </cell>
          <cell r="H255" t="str">
            <v>labo</v>
          </cell>
          <cell r="I255">
            <v>3763.08</v>
          </cell>
          <cell r="J255">
            <v>3573</v>
          </cell>
          <cell r="K255" t="str">
            <v>ind_pr</v>
          </cell>
          <cell r="L255">
            <v>4211.45</v>
          </cell>
          <cell r="M255">
            <v>0</v>
          </cell>
          <cell r="N255">
            <v>0</v>
          </cell>
          <cell r="O255" t="e">
            <v>#N/A</v>
          </cell>
          <cell r="P255" t="e">
            <v>#N/A</v>
          </cell>
        </row>
        <row r="256">
          <cell r="A256" t="str">
            <v>Paranagua</v>
          </cell>
          <cell r="B256" t="str">
            <v>var_pr</v>
          </cell>
          <cell r="C256">
            <v>4729.62</v>
          </cell>
          <cell r="D256">
            <v>4729.62</v>
          </cell>
          <cell r="E256" t="str">
            <v>dist</v>
          </cell>
          <cell r="F256">
            <v>4764</v>
          </cell>
          <cell r="G256">
            <v>4515</v>
          </cell>
          <cell r="H256" t="str">
            <v>labo</v>
          </cell>
          <cell r="I256">
            <v>3763.08</v>
          </cell>
          <cell r="J256">
            <v>3573</v>
          </cell>
          <cell r="K256" t="str">
            <v>ind_pr</v>
          </cell>
          <cell r="L256">
            <v>4211.45</v>
          </cell>
          <cell r="M256">
            <v>0</v>
          </cell>
          <cell r="N256" t="str">
            <v>hosp_pr</v>
          </cell>
          <cell r="O256">
            <v>4567</v>
          </cell>
          <cell r="P256">
            <v>0</v>
          </cell>
        </row>
        <row r="257">
          <cell r="A257" t="str">
            <v>Paranapoema</v>
          </cell>
          <cell r="B257" t="str">
            <v>var_par</v>
          </cell>
          <cell r="C257">
            <v>4846</v>
          </cell>
          <cell r="D257">
            <v>4846</v>
          </cell>
          <cell r="E257" t="str">
            <v>dist</v>
          </cell>
          <cell r="F257">
            <v>4764</v>
          </cell>
          <cell r="G257">
            <v>4515</v>
          </cell>
          <cell r="H257" t="str">
            <v>labo</v>
          </cell>
          <cell r="I257">
            <v>3763.08</v>
          </cell>
          <cell r="J257">
            <v>3573</v>
          </cell>
          <cell r="K257" t="str">
            <v>ind_pr</v>
          </cell>
          <cell r="L257">
            <v>4211.45</v>
          </cell>
          <cell r="M257">
            <v>0</v>
          </cell>
          <cell r="N257">
            <v>0</v>
          </cell>
          <cell r="O257" t="e">
            <v>#N/A</v>
          </cell>
          <cell r="P257" t="e">
            <v>#N/A</v>
          </cell>
        </row>
        <row r="258">
          <cell r="A258" t="str">
            <v>Paranavai</v>
          </cell>
          <cell r="B258" t="str">
            <v>var_par</v>
          </cell>
          <cell r="C258">
            <v>4846</v>
          </cell>
          <cell r="D258">
            <v>4846</v>
          </cell>
          <cell r="E258" t="str">
            <v>dist</v>
          </cell>
          <cell r="F258">
            <v>4764</v>
          </cell>
          <cell r="G258">
            <v>4515</v>
          </cell>
          <cell r="H258" t="str">
            <v>labo</v>
          </cell>
          <cell r="I258">
            <v>3763.08</v>
          </cell>
          <cell r="J258">
            <v>3573</v>
          </cell>
          <cell r="K258" t="str">
            <v>ind_pr</v>
          </cell>
          <cell r="L258">
            <v>4211.45</v>
          </cell>
          <cell r="M258">
            <v>0</v>
          </cell>
          <cell r="N258">
            <v>0</v>
          </cell>
          <cell r="O258" t="e">
            <v>#N/A</v>
          </cell>
          <cell r="P258" t="e">
            <v>#N/A</v>
          </cell>
        </row>
        <row r="259">
          <cell r="A259" t="str">
            <v>Pato Bragado</v>
          </cell>
          <cell r="B259" t="str">
            <v>var_op</v>
          </cell>
          <cell r="C259">
            <v>4410</v>
          </cell>
          <cell r="D259">
            <v>4219</v>
          </cell>
          <cell r="E259" t="str">
            <v>dist</v>
          </cell>
          <cell r="F259">
            <v>4764</v>
          </cell>
          <cell r="G259">
            <v>4515</v>
          </cell>
          <cell r="H259" t="str">
            <v>labo</v>
          </cell>
          <cell r="I259">
            <v>3763.08</v>
          </cell>
          <cell r="J259">
            <v>3573</v>
          </cell>
          <cell r="K259" t="str">
            <v>ind_pr</v>
          </cell>
          <cell r="L259">
            <v>4211.45</v>
          </cell>
          <cell r="M259">
            <v>0</v>
          </cell>
          <cell r="N259">
            <v>0</v>
          </cell>
          <cell r="O259" t="e">
            <v>#N/A</v>
          </cell>
          <cell r="P259" t="e">
            <v>#N/A</v>
          </cell>
        </row>
        <row r="260">
          <cell r="A260" t="str">
            <v>Pato Branco</v>
          </cell>
          <cell r="B260" t="str">
            <v>var_pr</v>
          </cell>
          <cell r="C260">
            <v>4729.62</v>
          </cell>
          <cell r="D260">
            <v>4729.62</v>
          </cell>
          <cell r="E260" t="str">
            <v>dist</v>
          </cell>
          <cell r="F260">
            <v>4764</v>
          </cell>
          <cell r="G260">
            <v>4515</v>
          </cell>
          <cell r="H260" t="str">
            <v>labo</v>
          </cell>
          <cell r="I260">
            <v>3763.08</v>
          </cell>
          <cell r="J260">
            <v>3573</v>
          </cell>
          <cell r="K260" t="str">
            <v>ind_pr</v>
          </cell>
          <cell r="L260">
            <v>4211.45</v>
          </cell>
          <cell r="M260">
            <v>0</v>
          </cell>
          <cell r="N260" t="str">
            <v>hosp_pb</v>
          </cell>
          <cell r="O260">
            <v>1760</v>
          </cell>
          <cell r="P260">
            <v>0</v>
          </cell>
        </row>
        <row r="261">
          <cell r="A261" t="str">
            <v>Paula Freitas</v>
          </cell>
          <cell r="B261" t="str">
            <v>var_pr</v>
          </cell>
          <cell r="C261">
            <v>4729.62</v>
          </cell>
          <cell r="D261">
            <v>4729.62</v>
          </cell>
          <cell r="E261" t="str">
            <v>dist</v>
          </cell>
          <cell r="F261">
            <v>4764</v>
          </cell>
          <cell r="G261">
            <v>4515</v>
          </cell>
          <cell r="H261" t="str">
            <v>labo</v>
          </cell>
          <cell r="I261">
            <v>3763.08</v>
          </cell>
          <cell r="J261">
            <v>3573</v>
          </cell>
          <cell r="K261" t="str">
            <v>ind_pr</v>
          </cell>
          <cell r="L261">
            <v>4211.45</v>
          </cell>
          <cell r="M261">
            <v>0</v>
          </cell>
          <cell r="N261">
            <v>0</v>
          </cell>
          <cell r="O261" t="e">
            <v>#N/A</v>
          </cell>
          <cell r="P261" t="e">
            <v>#N/A</v>
          </cell>
        </row>
        <row r="262">
          <cell r="A262" t="str">
            <v>Paulo Frontin</v>
          </cell>
          <cell r="B262" t="str">
            <v>var_pr</v>
          </cell>
          <cell r="C262">
            <v>4729.62</v>
          </cell>
          <cell r="D262">
            <v>4729.62</v>
          </cell>
          <cell r="E262" t="str">
            <v>dist</v>
          </cell>
          <cell r="F262">
            <v>4764</v>
          </cell>
          <cell r="G262">
            <v>4515</v>
          </cell>
          <cell r="H262" t="str">
            <v>labo</v>
          </cell>
          <cell r="I262">
            <v>3763.08</v>
          </cell>
          <cell r="J262">
            <v>3573</v>
          </cell>
          <cell r="K262" t="str">
            <v>ind_pr</v>
          </cell>
          <cell r="L262">
            <v>4211.45</v>
          </cell>
          <cell r="M262">
            <v>0</v>
          </cell>
          <cell r="N262">
            <v>0</v>
          </cell>
          <cell r="O262" t="e">
            <v>#N/A</v>
          </cell>
          <cell r="P262" t="e">
            <v>#N/A</v>
          </cell>
        </row>
        <row r="263">
          <cell r="A263" t="str">
            <v>Peabiru</v>
          </cell>
          <cell r="B263" t="str">
            <v>var_pr</v>
          </cell>
          <cell r="C263">
            <v>4729.62</v>
          </cell>
          <cell r="D263">
            <v>4729.62</v>
          </cell>
          <cell r="E263" t="str">
            <v>dist</v>
          </cell>
          <cell r="F263">
            <v>4764</v>
          </cell>
          <cell r="G263">
            <v>4515</v>
          </cell>
          <cell r="H263" t="str">
            <v>labo</v>
          </cell>
          <cell r="I263">
            <v>3763.08</v>
          </cell>
          <cell r="J263">
            <v>3573</v>
          </cell>
          <cell r="K263" t="str">
            <v>ind_pr</v>
          </cell>
          <cell r="L263">
            <v>4211.45</v>
          </cell>
          <cell r="M263">
            <v>0</v>
          </cell>
          <cell r="N263" t="str">
            <v>hosp_cm</v>
          </cell>
          <cell r="O263">
            <v>4133.2</v>
          </cell>
          <cell r="P263">
            <v>0</v>
          </cell>
        </row>
        <row r="264">
          <cell r="A264" t="str">
            <v>Perobal</v>
          </cell>
          <cell r="B264" t="str">
            <v>var_pr</v>
          </cell>
          <cell r="C264">
            <v>4729.62</v>
          </cell>
          <cell r="D264">
            <v>4729.62</v>
          </cell>
          <cell r="E264" t="str">
            <v>dist</v>
          </cell>
          <cell r="F264">
            <v>4764</v>
          </cell>
          <cell r="G264">
            <v>4515</v>
          </cell>
          <cell r="H264" t="str">
            <v>labo</v>
          </cell>
          <cell r="I264">
            <v>3763.08</v>
          </cell>
          <cell r="J264">
            <v>3573</v>
          </cell>
          <cell r="K264" t="str">
            <v>ind_pr</v>
          </cell>
          <cell r="L264">
            <v>4211.45</v>
          </cell>
          <cell r="M264">
            <v>0</v>
          </cell>
          <cell r="N264">
            <v>0</v>
          </cell>
          <cell r="O264" t="e">
            <v>#N/A</v>
          </cell>
          <cell r="P264" t="e">
            <v>#N/A</v>
          </cell>
        </row>
        <row r="265">
          <cell r="A265" t="str">
            <v>Perola</v>
          </cell>
          <cell r="B265" t="str">
            <v>var_pr</v>
          </cell>
          <cell r="C265">
            <v>4729.62</v>
          </cell>
          <cell r="D265">
            <v>4729.62</v>
          </cell>
          <cell r="E265" t="str">
            <v>dist</v>
          </cell>
          <cell r="F265">
            <v>4764</v>
          </cell>
          <cell r="G265">
            <v>4515</v>
          </cell>
          <cell r="H265" t="str">
            <v>labo</v>
          </cell>
          <cell r="I265">
            <v>3763.08</v>
          </cell>
          <cell r="J265">
            <v>3573</v>
          </cell>
          <cell r="K265" t="str">
            <v>ind_pr</v>
          </cell>
          <cell r="L265">
            <v>4211.45</v>
          </cell>
          <cell r="M265">
            <v>0</v>
          </cell>
          <cell r="N265" t="str">
            <v>hosp_umu</v>
          </cell>
          <cell r="O265">
            <v>2428.5500000000002</v>
          </cell>
          <cell r="P265">
            <v>0</v>
          </cell>
        </row>
        <row r="266">
          <cell r="A266" t="str">
            <v>Perola do Oeste</v>
          </cell>
          <cell r="B266" t="str">
            <v>var_pr</v>
          </cell>
          <cell r="C266">
            <v>4729.62</v>
          </cell>
          <cell r="D266">
            <v>4729.62</v>
          </cell>
          <cell r="E266" t="str">
            <v>dist</v>
          </cell>
          <cell r="F266">
            <v>4764</v>
          </cell>
          <cell r="G266">
            <v>4515</v>
          </cell>
          <cell r="H266" t="str">
            <v>labo</v>
          </cell>
          <cell r="I266">
            <v>3763.08</v>
          </cell>
          <cell r="J266">
            <v>3573</v>
          </cell>
          <cell r="K266" t="str">
            <v>ind_pr</v>
          </cell>
          <cell r="L266">
            <v>4211.45</v>
          </cell>
          <cell r="M266">
            <v>0</v>
          </cell>
          <cell r="N266" t="str">
            <v>hosp_sudpr</v>
          </cell>
          <cell r="O266">
            <v>1760</v>
          </cell>
          <cell r="P266">
            <v>0</v>
          </cell>
        </row>
        <row r="267">
          <cell r="A267" t="str">
            <v>Pien</v>
          </cell>
          <cell r="B267" t="str">
            <v>var_pr</v>
          </cell>
          <cell r="C267">
            <v>4729.62</v>
          </cell>
          <cell r="D267">
            <v>4729.62</v>
          </cell>
          <cell r="E267" t="str">
            <v>dist</v>
          </cell>
          <cell r="F267">
            <v>4764</v>
          </cell>
          <cell r="G267">
            <v>4515</v>
          </cell>
          <cell r="H267" t="str">
            <v>labo</v>
          </cell>
          <cell r="I267">
            <v>3763.08</v>
          </cell>
          <cell r="J267">
            <v>3573</v>
          </cell>
          <cell r="K267" t="str">
            <v>ind_pr</v>
          </cell>
          <cell r="L267">
            <v>4211.45</v>
          </cell>
          <cell r="M267">
            <v>0</v>
          </cell>
          <cell r="N267" t="str">
            <v>hosp_pr</v>
          </cell>
          <cell r="O267">
            <v>4567</v>
          </cell>
          <cell r="P267">
            <v>0</v>
          </cell>
        </row>
        <row r="268">
          <cell r="A268" t="str">
            <v>Pinhais</v>
          </cell>
          <cell r="B268" t="str">
            <v>var_pr</v>
          </cell>
          <cell r="C268">
            <v>4729.62</v>
          </cell>
          <cell r="D268">
            <v>4729.62</v>
          </cell>
          <cell r="E268" t="str">
            <v>dist</v>
          </cell>
          <cell r="F268">
            <v>4764</v>
          </cell>
          <cell r="G268">
            <v>4515</v>
          </cell>
          <cell r="H268" t="str">
            <v>labo</v>
          </cell>
          <cell r="I268">
            <v>3763.08</v>
          </cell>
          <cell r="J268">
            <v>3573</v>
          </cell>
          <cell r="K268" t="str">
            <v>ind_pr</v>
          </cell>
          <cell r="L268">
            <v>4211.45</v>
          </cell>
          <cell r="M268">
            <v>0</v>
          </cell>
          <cell r="N268">
            <v>0</v>
          </cell>
          <cell r="O268" t="e">
            <v>#N/A</v>
          </cell>
          <cell r="P268" t="e">
            <v>#N/A</v>
          </cell>
        </row>
        <row r="269">
          <cell r="A269" t="str">
            <v>Pinhal de Sao Bento</v>
          </cell>
          <cell r="B269" t="str">
            <v>var_pr</v>
          </cell>
          <cell r="C269">
            <v>4729.62</v>
          </cell>
          <cell r="D269">
            <v>4729.62</v>
          </cell>
          <cell r="E269" t="str">
            <v>dist</v>
          </cell>
          <cell r="F269">
            <v>4764</v>
          </cell>
          <cell r="G269">
            <v>4515</v>
          </cell>
          <cell r="H269" t="str">
            <v>labo</v>
          </cell>
          <cell r="I269">
            <v>3763.08</v>
          </cell>
          <cell r="J269">
            <v>3573</v>
          </cell>
          <cell r="K269" t="str">
            <v>ind_pr</v>
          </cell>
          <cell r="L269">
            <v>4211.45</v>
          </cell>
          <cell r="M269">
            <v>0</v>
          </cell>
          <cell r="N269" t="str">
            <v>hosp_sudpr</v>
          </cell>
          <cell r="O269">
            <v>1760</v>
          </cell>
          <cell r="P269">
            <v>0</v>
          </cell>
        </row>
        <row r="270">
          <cell r="A270" t="str">
            <v>Pinhalao</v>
          </cell>
          <cell r="B270" t="str">
            <v>var_sto</v>
          </cell>
          <cell r="C270">
            <v>5030</v>
          </cell>
          <cell r="D270">
            <v>5030</v>
          </cell>
          <cell r="E270" t="str">
            <v>dist</v>
          </cell>
          <cell r="F270">
            <v>4764</v>
          </cell>
          <cell r="G270">
            <v>4515</v>
          </cell>
          <cell r="H270" t="str">
            <v>labo</v>
          </cell>
          <cell r="I270">
            <v>3763.08</v>
          </cell>
          <cell r="J270">
            <v>3573</v>
          </cell>
          <cell r="K270" t="str">
            <v>ind_pr</v>
          </cell>
          <cell r="L270">
            <v>4211.45</v>
          </cell>
          <cell r="M270">
            <v>0</v>
          </cell>
          <cell r="N270" t="str">
            <v>hosp_nor</v>
          </cell>
          <cell r="O270">
            <v>1760</v>
          </cell>
          <cell r="P270">
            <v>0</v>
          </cell>
        </row>
        <row r="271">
          <cell r="A271" t="str">
            <v>Pinhao</v>
          </cell>
          <cell r="B271" t="str">
            <v>var_pr</v>
          </cell>
          <cell r="C271">
            <v>4729.62</v>
          </cell>
          <cell r="D271">
            <v>4729.62</v>
          </cell>
          <cell r="E271" t="str">
            <v>dist</v>
          </cell>
          <cell r="F271">
            <v>4764</v>
          </cell>
          <cell r="G271">
            <v>4515</v>
          </cell>
          <cell r="H271" t="str">
            <v>labo</v>
          </cell>
          <cell r="I271">
            <v>3763.08</v>
          </cell>
          <cell r="J271">
            <v>3573</v>
          </cell>
          <cell r="K271" t="str">
            <v>ind_pr</v>
          </cell>
          <cell r="L271">
            <v>4211.45</v>
          </cell>
          <cell r="M271">
            <v>0</v>
          </cell>
          <cell r="N271" t="str">
            <v>hosp_co</v>
          </cell>
          <cell r="O271">
            <v>3036.29</v>
          </cell>
          <cell r="P271">
            <v>0</v>
          </cell>
        </row>
        <row r="272">
          <cell r="A272" t="str">
            <v>Pirai do Sul</v>
          </cell>
          <cell r="B272" t="str">
            <v>var_pr</v>
          </cell>
          <cell r="C272">
            <v>4729.62</v>
          </cell>
          <cell r="D272">
            <v>4729.62</v>
          </cell>
          <cell r="E272" t="str">
            <v>dist</v>
          </cell>
          <cell r="F272">
            <v>4764</v>
          </cell>
          <cell r="G272">
            <v>4515</v>
          </cell>
          <cell r="H272" t="str">
            <v>labo</v>
          </cell>
          <cell r="I272">
            <v>3763.08</v>
          </cell>
          <cell r="J272">
            <v>3573</v>
          </cell>
          <cell r="K272" t="str">
            <v>ind_pr</v>
          </cell>
          <cell r="L272">
            <v>4211.45</v>
          </cell>
          <cell r="M272">
            <v>0</v>
          </cell>
          <cell r="N272">
            <v>0</v>
          </cell>
          <cell r="O272" t="e">
            <v>#N/A</v>
          </cell>
          <cell r="P272" t="e">
            <v>#N/A</v>
          </cell>
        </row>
        <row r="273">
          <cell r="A273" t="str">
            <v>Piraquara</v>
          </cell>
          <cell r="B273" t="str">
            <v>var_pr</v>
          </cell>
          <cell r="C273">
            <v>4729.62</v>
          </cell>
          <cell r="D273">
            <v>4729.62</v>
          </cell>
          <cell r="E273" t="str">
            <v>dist</v>
          </cell>
          <cell r="F273">
            <v>4764</v>
          </cell>
          <cell r="G273">
            <v>4515</v>
          </cell>
          <cell r="H273" t="str">
            <v>labo</v>
          </cell>
          <cell r="I273">
            <v>3763.08</v>
          </cell>
          <cell r="J273">
            <v>3573</v>
          </cell>
          <cell r="K273" t="str">
            <v>ind_pr</v>
          </cell>
          <cell r="L273">
            <v>4211.45</v>
          </cell>
          <cell r="M273">
            <v>0</v>
          </cell>
          <cell r="N273" t="str">
            <v>hosp_pr</v>
          </cell>
          <cell r="O273">
            <v>4567</v>
          </cell>
          <cell r="P273">
            <v>0</v>
          </cell>
        </row>
        <row r="274">
          <cell r="A274" t="str">
            <v>Pitanga</v>
          </cell>
          <cell r="B274" t="str">
            <v>var_pr</v>
          </cell>
          <cell r="C274">
            <v>4729.62</v>
          </cell>
          <cell r="D274">
            <v>4729.62</v>
          </cell>
          <cell r="E274" t="str">
            <v>dist</v>
          </cell>
          <cell r="F274">
            <v>4764</v>
          </cell>
          <cell r="G274">
            <v>4515</v>
          </cell>
          <cell r="H274" t="str">
            <v>labo</v>
          </cell>
          <cell r="I274">
            <v>3763.08</v>
          </cell>
          <cell r="J274">
            <v>3573</v>
          </cell>
          <cell r="K274" t="str">
            <v>ind_pr</v>
          </cell>
          <cell r="L274">
            <v>4211.45</v>
          </cell>
          <cell r="M274">
            <v>0</v>
          </cell>
          <cell r="N274">
            <v>0</v>
          </cell>
          <cell r="O274" t="e">
            <v>#N/A</v>
          </cell>
          <cell r="P274" t="e">
            <v>#N/A</v>
          </cell>
        </row>
        <row r="275">
          <cell r="A275" t="str">
            <v>Pitangueiras</v>
          </cell>
          <cell r="B275" t="str">
            <v>var_pr</v>
          </cell>
          <cell r="C275">
            <v>4729.62</v>
          </cell>
          <cell r="D275">
            <v>4729.62</v>
          </cell>
          <cell r="E275" t="str">
            <v>dist</v>
          </cell>
          <cell r="F275">
            <v>4764</v>
          </cell>
          <cell r="G275">
            <v>4515</v>
          </cell>
          <cell r="H275" t="str">
            <v>labo</v>
          </cell>
          <cell r="I275">
            <v>3763.08</v>
          </cell>
          <cell r="J275">
            <v>3573</v>
          </cell>
          <cell r="K275" t="str">
            <v>ind_pr</v>
          </cell>
          <cell r="L275">
            <v>4211.45</v>
          </cell>
          <cell r="M275">
            <v>0</v>
          </cell>
          <cell r="N275">
            <v>0</v>
          </cell>
          <cell r="O275" t="e">
            <v>#N/A</v>
          </cell>
          <cell r="P275" t="e">
            <v>#N/A</v>
          </cell>
        </row>
        <row r="276">
          <cell r="A276" t="str">
            <v>Planaltina do Parana</v>
          </cell>
          <cell r="B276" t="str">
            <v>var_par</v>
          </cell>
          <cell r="C276">
            <v>4846</v>
          </cell>
          <cell r="D276">
            <v>4846</v>
          </cell>
          <cell r="E276" t="str">
            <v>dist</v>
          </cell>
          <cell r="F276">
            <v>4764</v>
          </cell>
          <cell r="G276">
            <v>4515</v>
          </cell>
          <cell r="H276" t="str">
            <v>labo</v>
          </cell>
          <cell r="I276">
            <v>3763.08</v>
          </cell>
          <cell r="J276">
            <v>3573</v>
          </cell>
          <cell r="K276" t="str">
            <v>ind_pr</v>
          </cell>
          <cell r="L276">
            <v>4211.45</v>
          </cell>
          <cell r="M276">
            <v>0</v>
          </cell>
          <cell r="N276">
            <v>0</v>
          </cell>
          <cell r="O276" t="e">
            <v>#N/A</v>
          </cell>
          <cell r="P276" t="e">
            <v>#N/A</v>
          </cell>
        </row>
        <row r="277">
          <cell r="A277" t="str">
            <v>Planalto</v>
          </cell>
          <cell r="B277" t="str">
            <v>var_pr</v>
          </cell>
          <cell r="C277">
            <v>4729.62</v>
          </cell>
          <cell r="D277">
            <v>4729.62</v>
          </cell>
          <cell r="E277" t="str">
            <v>dist</v>
          </cell>
          <cell r="F277">
            <v>4764</v>
          </cell>
          <cell r="G277">
            <v>4515</v>
          </cell>
          <cell r="H277" t="str">
            <v>labo</v>
          </cell>
          <cell r="I277">
            <v>3763.08</v>
          </cell>
          <cell r="J277">
            <v>3573</v>
          </cell>
          <cell r="K277" t="str">
            <v>ind_pr</v>
          </cell>
          <cell r="L277">
            <v>4211.45</v>
          </cell>
          <cell r="M277">
            <v>0</v>
          </cell>
          <cell r="N277" t="str">
            <v>hosp_sudpr</v>
          </cell>
          <cell r="O277">
            <v>1760</v>
          </cell>
          <cell r="P277">
            <v>0</v>
          </cell>
        </row>
        <row r="278">
          <cell r="A278" t="str">
            <v>Ponta Grossa</v>
          </cell>
          <cell r="B278" t="str">
            <v>var_pr</v>
          </cell>
          <cell r="C278">
            <v>4729.62</v>
          </cell>
          <cell r="D278">
            <v>4729.62</v>
          </cell>
          <cell r="E278" t="str">
            <v>dist</v>
          </cell>
          <cell r="F278">
            <v>4764</v>
          </cell>
          <cell r="G278">
            <v>4515</v>
          </cell>
          <cell r="H278" t="str">
            <v>labo</v>
          </cell>
          <cell r="I278">
            <v>3763.08</v>
          </cell>
          <cell r="J278">
            <v>3573</v>
          </cell>
          <cell r="K278" t="str">
            <v>ind_pr</v>
          </cell>
          <cell r="L278">
            <v>4211.45</v>
          </cell>
          <cell r="M278">
            <v>0</v>
          </cell>
          <cell r="N278" t="str">
            <v>hosp_pg</v>
          </cell>
          <cell r="O278">
            <v>1971.2</v>
          </cell>
          <cell r="P278">
            <v>0</v>
          </cell>
        </row>
        <row r="279">
          <cell r="A279" t="str">
            <v>Pontal do Parana</v>
          </cell>
          <cell r="B279" t="str">
            <v>var_pr</v>
          </cell>
          <cell r="C279">
            <v>4729.62</v>
          </cell>
          <cell r="D279">
            <v>4729.62</v>
          </cell>
          <cell r="E279" t="str">
            <v>dist</v>
          </cell>
          <cell r="F279">
            <v>4764</v>
          </cell>
          <cell r="G279">
            <v>4515</v>
          </cell>
          <cell r="H279" t="str">
            <v>labo</v>
          </cell>
          <cell r="I279">
            <v>3763.08</v>
          </cell>
          <cell r="J279">
            <v>3573</v>
          </cell>
          <cell r="K279" t="str">
            <v>ind_pr</v>
          </cell>
          <cell r="L279">
            <v>4211.45</v>
          </cell>
          <cell r="M279">
            <v>0</v>
          </cell>
          <cell r="N279">
            <v>0</v>
          </cell>
          <cell r="O279" t="e">
            <v>#N/A</v>
          </cell>
          <cell r="P279" t="e">
            <v>#N/A</v>
          </cell>
        </row>
        <row r="280">
          <cell r="A280" t="str">
            <v>Porecatu</v>
          </cell>
          <cell r="B280" t="str">
            <v>var_ld</v>
          </cell>
          <cell r="C280">
            <v>4750</v>
          </cell>
          <cell r="D280">
            <v>4527</v>
          </cell>
          <cell r="E280" t="str">
            <v>dist</v>
          </cell>
          <cell r="F280">
            <v>4764</v>
          </cell>
          <cell r="G280">
            <v>4515</v>
          </cell>
          <cell r="H280" t="str">
            <v>labo</v>
          </cell>
          <cell r="I280">
            <v>3763.08</v>
          </cell>
          <cell r="J280">
            <v>3573</v>
          </cell>
          <cell r="K280" t="str">
            <v>ind_pr</v>
          </cell>
          <cell r="L280">
            <v>4211.45</v>
          </cell>
          <cell r="M280">
            <v>0</v>
          </cell>
          <cell r="N280">
            <v>0</v>
          </cell>
          <cell r="O280" t="e">
            <v>#N/A</v>
          </cell>
          <cell r="P280" t="e">
            <v>#N/A</v>
          </cell>
        </row>
        <row r="281">
          <cell r="A281" t="str">
            <v>Porto Amazonas</v>
          </cell>
          <cell r="B281" t="str">
            <v>var_pr</v>
          </cell>
          <cell r="C281">
            <v>4729.62</v>
          </cell>
          <cell r="D281">
            <v>4729.62</v>
          </cell>
          <cell r="E281" t="str">
            <v>dist</v>
          </cell>
          <cell r="F281">
            <v>4764</v>
          </cell>
          <cell r="G281">
            <v>4515</v>
          </cell>
          <cell r="H281" t="str">
            <v>labo</v>
          </cell>
          <cell r="I281">
            <v>3763.08</v>
          </cell>
          <cell r="J281">
            <v>3573</v>
          </cell>
          <cell r="K281" t="str">
            <v>ind_pr</v>
          </cell>
          <cell r="L281">
            <v>4211.45</v>
          </cell>
          <cell r="M281">
            <v>0</v>
          </cell>
          <cell r="N281">
            <v>0</v>
          </cell>
          <cell r="O281" t="e">
            <v>#N/A</v>
          </cell>
          <cell r="P281" t="e">
            <v>#N/A</v>
          </cell>
        </row>
        <row r="282">
          <cell r="A282" t="str">
            <v>Porto Barreiro</v>
          </cell>
          <cell r="B282" t="str">
            <v>var_pr</v>
          </cell>
          <cell r="C282">
            <v>4729.62</v>
          </cell>
          <cell r="D282">
            <v>4729.62</v>
          </cell>
          <cell r="E282" t="str">
            <v>dist</v>
          </cell>
          <cell r="F282">
            <v>4764</v>
          </cell>
          <cell r="G282">
            <v>4515</v>
          </cell>
          <cell r="H282" t="str">
            <v>labo</v>
          </cell>
          <cell r="I282">
            <v>3763.08</v>
          </cell>
          <cell r="J282">
            <v>3573</v>
          </cell>
          <cell r="K282" t="str">
            <v>ind_pr</v>
          </cell>
          <cell r="L282">
            <v>4211.45</v>
          </cell>
          <cell r="M282">
            <v>0</v>
          </cell>
          <cell r="N282" t="str">
            <v>hosp_co</v>
          </cell>
          <cell r="O282">
            <v>3036.29</v>
          </cell>
          <cell r="P282">
            <v>0</v>
          </cell>
        </row>
        <row r="283">
          <cell r="A283" t="str">
            <v>Porto Rico</v>
          </cell>
          <cell r="B283" t="str">
            <v>var_par</v>
          </cell>
          <cell r="C283">
            <v>4846</v>
          </cell>
          <cell r="D283">
            <v>4846</v>
          </cell>
          <cell r="E283" t="str">
            <v>dist</v>
          </cell>
          <cell r="F283">
            <v>4764</v>
          </cell>
          <cell r="G283">
            <v>4515</v>
          </cell>
          <cell r="H283" t="str">
            <v>labo</v>
          </cell>
          <cell r="I283">
            <v>3763.08</v>
          </cell>
          <cell r="J283">
            <v>3573</v>
          </cell>
          <cell r="K283" t="str">
            <v>ind_pr</v>
          </cell>
          <cell r="L283">
            <v>4211.45</v>
          </cell>
          <cell r="M283">
            <v>0</v>
          </cell>
          <cell r="N283">
            <v>0</v>
          </cell>
          <cell r="O283" t="e">
            <v>#N/A</v>
          </cell>
          <cell r="P283" t="e">
            <v>#N/A</v>
          </cell>
        </row>
        <row r="284">
          <cell r="A284" t="str">
            <v>Porto Vitoria</v>
          </cell>
          <cell r="B284" t="str">
            <v>var_pr</v>
          </cell>
          <cell r="C284">
            <v>4729.62</v>
          </cell>
          <cell r="D284">
            <v>4729.62</v>
          </cell>
          <cell r="E284" t="str">
            <v>dist</v>
          </cell>
          <cell r="F284">
            <v>4764</v>
          </cell>
          <cell r="G284">
            <v>4515</v>
          </cell>
          <cell r="H284" t="str">
            <v>labo</v>
          </cell>
          <cell r="I284">
            <v>3763.08</v>
          </cell>
          <cell r="J284">
            <v>3573</v>
          </cell>
          <cell r="K284" t="str">
            <v>ind_pr</v>
          </cell>
          <cell r="L284">
            <v>4211.45</v>
          </cell>
          <cell r="M284">
            <v>0</v>
          </cell>
          <cell r="N284">
            <v>0</v>
          </cell>
          <cell r="O284" t="e">
            <v>#N/A</v>
          </cell>
          <cell r="P284" t="e">
            <v>#N/A</v>
          </cell>
        </row>
        <row r="285">
          <cell r="A285" t="str">
            <v>Prado Ferreira</v>
          </cell>
          <cell r="B285" t="str">
            <v>var_pr</v>
          </cell>
          <cell r="C285">
            <v>4729.62</v>
          </cell>
          <cell r="D285">
            <v>4729.62</v>
          </cell>
          <cell r="E285" t="str">
            <v>dist</v>
          </cell>
          <cell r="F285">
            <v>4764</v>
          </cell>
          <cell r="G285">
            <v>4515</v>
          </cell>
          <cell r="H285" t="str">
            <v>labo</v>
          </cell>
          <cell r="I285">
            <v>3763.08</v>
          </cell>
          <cell r="J285">
            <v>3573</v>
          </cell>
          <cell r="K285" t="str">
            <v>ind_pr</v>
          </cell>
          <cell r="L285">
            <v>4211.45</v>
          </cell>
          <cell r="M285">
            <v>0</v>
          </cell>
          <cell r="N285">
            <v>0</v>
          </cell>
          <cell r="O285" t="e">
            <v>#N/A</v>
          </cell>
          <cell r="P285" t="e">
            <v>#N/A</v>
          </cell>
        </row>
        <row r="286">
          <cell r="A286" t="str">
            <v>Pranchita</v>
          </cell>
          <cell r="B286" t="str">
            <v>var_pr</v>
          </cell>
          <cell r="C286">
            <v>4729.62</v>
          </cell>
          <cell r="D286">
            <v>4729.62</v>
          </cell>
          <cell r="E286" t="str">
            <v>dist</v>
          </cell>
          <cell r="F286">
            <v>4764</v>
          </cell>
          <cell r="G286">
            <v>4515</v>
          </cell>
          <cell r="H286" t="str">
            <v>labo</v>
          </cell>
          <cell r="I286">
            <v>3763.08</v>
          </cell>
          <cell r="J286">
            <v>3573</v>
          </cell>
          <cell r="K286" t="str">
            <v>ind_pr</v>
          </cell>
          <cell r="L286">
            <v>4211.45</v>
          </cell>
          <cell r="M286">
            <v>0</v>
          </cell>
          <cell r="N286" t="str">
            <v>hosp_sudpr</v>
          </cell>
          <cell r="O286">
            <v>1760</v>
          </cell>
          <cell r="P286">
            <v>0</v>
          </cell>
        </row>
        <row r="287">
          <cell r="A287" t="str">
            <v>Presidente Castelo Branco</v>
          </cell>
          <cell r="B287" t="str">
            <v>var_pr</v>
          </cell>
          <cell r="C287">
            <v>4729.62</v>
          </cell>
          <cell r="D287">
            <v>4729.62</v>
          </cell>
          <cell r="E287" t="str">
            <v>dist</v>
          </cell>
          <cell r="F287">
            <v>4764</v>
          </cell>
          <cell r="G287">
            <v>4515</v>
          </cell>
          <cell r="H287" t="str">
            <v>labo</v>
          </cell>
          <cell r="I287">
            <v>3763.08</v>
          </cell>
          <cell r="J287">
            <v>3573</v>
          </cell>
          <cell r="K287" t="str">
            <v>ind_pr</v>
          </cell>
          <cell r="L287">
            <v>4211.45</v>
          </cell>
          <cell r="M287">
            <v>0</v>
          </cell>
          <cell r="N287" t="str">
            <v>hosp_mg</v>
          </cell>
          <cell r="O287">
            <v>3888.38</v>
          </cell>
          <cell r="P287">
            <v>0</v>
          </cell>
        </row>
        <row r="288">
          <cell r="A288" t="str">
            <v>Primeiro de Maio</v>
          </cell>
          <cell r="B288" t="str">
            <v>var_ld</v>
          </cell>
          <cell r="C288">
            <v>4750</v>
          </cell>
          <cell r="D288">
            <v>4527</v>
          </cell>
          <cell r="E288" t="str">
            <v>dist</v>
          </cell>
          <cell r="F288">
            <v>4764</v>
          </cell>
          <cell r="G288">
            <v>4515</v>
          </cell>
          <cell r="H288" t="str">
            <v>labo</v>
          </cell>
          <cell r="I288">
            <v>3763.08</v>
          </cell>
          <cell r="J288">
            <v>3573</v>
          </cell>
          <cell r="K288" t="str">
            <v>ind_pr</v>
          </cell>
          <cell r="L288">
            <v>4211.45</v>
          </cell>
          <cell r="M288">
            <v>0</v>
          </cell>
          <cell r="N288">
            <v>0</v>
          </cell>
          <cell r="O288" t="e">
            <v>#N/A</v>
          </cell>
          <cell r="P288" t="e">
            <v>#N/A</v>
          </cell>
        </row>
        <row r="289">
          <cell r="A289" t="str">
            <v>Prudentopolis</v>
          </cell>
          <cell r="B289" t="str">
            <v>var_pr</v>
          </cell>
          <cell r="C289">
            <v>4729.62</v>
          </cell>
          <cell r="D289">
            <v>4729.62</v>
          </cell>
          <cell r="E289" t="str">
            <v>dist</v>
          </cell>
          <cell r="F289">
            <v>4764</v>
          </cell>
          <cell r="G289">
            <v>4515</v>
          </cell>
          <cell r="H289" t="str">
            <v>labo</v>
          </cell>
          <cell r="I289">
            <v>3763.08</v>
          </cell>
          <cell r="J289">
            <v>3573</v>
          </cell>
          <cell r="K289" t="str">
            <v>ind_pr</v>
          </cell>
          <cell r="L289">
            <v>4211.45</v>
          </cell>
          <cell r="M289">
            <v>0</v>
          </cell>
          <cell r="N289" t="str">
            <v>hosp_co</v>
          </cell>
          <cell r="O289">
            <v>3036.29</v>
          </cell>
          <cell r="P289">
            <v>0</v>
          </cell>
        </row>
        <row r="290">
          <cell r="A290" t="str">
            <v>Quarto Centenario</v>
          </cell>
          <cell r="B290" t="str">
            <v>var_pr</v>
          </cell>
          <cell r="C290">
            <v>4729.62</v>
          </cell>
          <cell r="D290">
            <v>4729.62</v>
          </cell>
          <cell r="E290" t="str">
            <v>dist</v>
          </cell>
          <cell r="F290">
            <v>4764</v>
          </cell>
          <cell r="G290">
            <v>4515</v>
          </cell>
          <cell r="H290" t="str">
            <v>labo</v>
          </cell>
          <cell r="I290">
            <v>3763.08</v>
          </cell>
          <cell r="J290">
            <v>3573</v>
          </cell>
          <cell r="K290" t="str">
            <v>ind_pr</v>
          </cell>
          <cell r="L290">
            <v>4211.45</v>
          </cell>
          <cell r="M290">
            <v>0</v>
          </cell>
          <cell r="N290" t="str">
            <v>hosp_cm</v>
          </cell>
          <cell r="O290">
            <v>4133.2</v>
          </cell>
          <cell r="P290">
            <v>0</v>
          </cell>
        </row>
        <row r="291">
          <cell r="A291" t="str">
            <v>Quatigua</v>
          </cell>
          <cell r="B291" t="str">
            <v>var_sto</v>
          </cell>
          <cell r="C291">
            <v>5030</v>
          </cell>
          <cell r="D291">
            <v>5030</v>
          </cell>
          <cell r="E291" t="str">
            <v>dist</v>
          </cell>
          <cell r="F291">
            <v>4764</v>
          </cell>
          <cell r="G291">
            <v>4515</v>
          </cell>
          <cell r="H291" t="str">
            <v>labo</v>
          </cell>
          <cell r="I291">
            <v>3763.08</v>
          </cell>
          <cell r="J291">
            <v>3573</v>
          </cell>
          <cell r="K291" t="str">
            <v>ind_pr</v>
          </cell>
          <cell r="L291">
            <v>4211.45</v>
          </cell>
          <cell r="M291">
            <v>0</v>
          </cell>
          <cell r="N291" t="str">
            <v>hosp_nor</v>
          </cell>
          <cell r="O291">
            <v>1760</v>
          </cell>
          <cell r="P291">
            <v>0</v>
          </cell>
        </row>
        <row r="292">
          <cell r="A292" t="str">
            <v>Quatro Barras</v>
          </cell>
          <cell r="B292" t="str">
            <v>var_pr</v>
          </cell>
          <cell r="C292">
            <v>4729.62</v>
          </cell>
          <cell r="D292">
            <v>4729.62</v>
          </cell>
          <cell r="E292" t="str">
            <v>dist</v>
          </cell>
          <cell r="F292">
            <v>4764</v>
          </cell>
          <cell r="G292">
            <v>4515</v>
          </cell>
          <cell r="H292" t="str">
            <v>labo</v>
          </cell>
          <cell r="I292">
            <v>3763.08</v>
          </cell>
          <cell r="J292">
            <v>3573</v>
          </cell>
          <cell r="K292" t="str">
            <v>ind_pr</v>
          </cell>
          <cell r="L292">
            <v>4211.45</v>
          </cell>
          <cell r="M292">
            <v>0</v>
          </cell>
          <cell r="N292" t="str">
            <v>hosp_pr</v>
          </cell>
          <cell r="O292">
            <v>4567</v>
          </cell>
          <cell r="P292">
            <v>0</v>
          </cell>
        </row>
        <row r="293">
          <cell r="A293" t="str">
            <v>Quatro Pontes</v>
          </cell>
          <cell r="B293" t="str">
            <v>var_op</v>
          </cell>
          <cell r="C293">
            <v>4410</v>
          </cell>
          <cell r="D293">
            <v>4219</v>
          </cell>
          <cell r="E293" t="str">
            <v>dist</v>
          </cell>
          <cell r="F293">
            <v>4764</v>
          </cell>
          <cell r="G293">
            <v>4515</v>
          </cell>
          <cell r="H293" t="str">
            <v>labo</v>
          </cell>
          <cell r="I293">
            <v>3763.08</v>
          </cell>
          <cell r="J293">
            <v>3573</v>
          </cell>
          <cell r="K293" t="str">
            <v>ind_pr</v>
          </cell>
          <cell r="L293">
            <v>4211.45</v>
          </cell>
          <cell r="M293">
            <v>0</v>
          </cell>
          <cell r="N293">
            <v>0</v>
          </cell>
          <cell r="O293" t="e">
            <v>#N/A</v>
          </cell>
          <cell r="P293" t="e">
            <v>#N/A</v>
          </cell>
        </row>
        <row r="294">
          <cell r="A294" t="str">
            <v>Quedas do Iguaçu</v>
          </cell>
          <cell r="B294" t="str">
            <v>var_op</v>
          </cell>
          <cell r="C294">
            <v>4410</v>
          </cell>
          <cell r="D294">
            <v>4219</v>
          </cell>
          <cell r="E294" t="str">
            <v>dist</v>
          </cell>
          <cell r="F294">
            <v>4764</v>
          </cell>
          <cell r="G294">
            <v>4515</v>
          </cell>
          <cell r="H294" t="str">
            <v>labo</v>
          </cell>
          <cell r="I294">
            <v>3763.08</v>
          </cell>
          <cell r="J294">
            <v>3573</v>
          </cell>
          <cell r="K294" t="str">
            <v>ind_pr</v>
          </cell>
          <cell r="L294">
            <v>4211.45</v>
          </cell>
          <cell r="M294">
            <v>0</v>
          </cell>
          <cell r="N294" t="str">
            <v>hosp_co</v>
          </cell>
          <cell r="O294">
            <v>3036.29</v>
          </cell>
          <cell r="P294">
            <v>0</v>
          </cell>
        </row>
        <row r="295">
          <cell r="A295" t="str">
            <v>Querencia do Norte</v>
          </cell>
          <cell r="B295" t="str">
            <v>var_par</v>
          </cell>
          <cell r="C295">
            <v>4846</v>
          </cell>
          <cell r="D295">
            <v>4846</v>
          </cell>
          <cell r="E295" t="str">
            <v>dist</v>
          </cell>
          <cell r="F295">
            <v>4764</v>
          </cell>
          <cell r="G295">
            <v>4515</v>
          </cell>
          <cell r="H295" t="str">
            <v>labo</v>
          </cell>
          <cell r="I295">
            <v>3763.08</v>
          </cell>
          <cell r="J295">
            <v>3573</v>
          </cell>
          <cell r="K295" t="str">
            <v>ind_pr</v>
          </cell>
          <cell r="L295">
            <v>4211.45</v>
          </cell>
          <cell r="M295">
            <v>0</v>
          </cell>
          <cell r="N295">
            <v>0</v>
          </cell>
          <cell r="O295" t="e">
            <v>#N/A</v>
          </cell>
          <cell r="P295" t="e">
            <v>#N/A</v>
          </cell>
        </row>
        <row r="296">
          <cell r="A296" t="str">
            <v>Quinta do Sol</v>
          </cell>
          <cell r="B296" t="str">
            <v>var_pr</v>
          </cell>
          <cell r="C296">
            <v>4729.62</v>
          </cell>
          <cell r="D296">
            <v>4729.62</v>
          </cell>
          <cell r="E296" t="str">
            <v>dist</v>
          </cell>
          <cell r="F296">
            <v>4764</v>
          </cell>
          <cell r="G296">
            <v>4515</v>
          </cell>
          <cell r="H296" t="str">
            <v>labo</v>
          </cell>
          <cell r="I296">
            <v>3763.08</v>
          </cell>
          <cell r="J296">
            <v>3573</v>
          </cell>
          <cell r="K296" t="str">
            <v>ind_pr</v>
          </cell>
          <cell r="L296">
            <v>4211.45</v>
          </cell>
          <cell r="M296">
            <v>0</v>
          </cell>
          <cell r="N296" t="str">
            <v>hosp_cm</v>
          </cell>
          <cell r="O296">
            <v>4133.2</v>
          </cell>
          <cell r="P296">
            <v>0</v>
          </cell>
        </row>
        <row r="297">
          <cell r="A297" t="str">
            <v>Quitandinha</v>
          </cell>
          <cell r="B297" t="str">
            <v>var_pr</v>
          </cell>
          <cell r="C297">
            <v>4729.62</v>
          </cell>
          <cell r="D297">
            <v>4729.62</v>
          </cell>
          <cell r="E297" t="str">
            <v>dist</v>
          </cell>
          <cell r="F297">
            <v>4764</v>
          </cell>
          <cell r="G297">
            <v>4515</v>
          </cell>
          <cell r="H297" t="str">
            <v>labo</v>
          </cell>
          <cell r="I297">
            <v>3763.08</v>
          </cell>
          <cell r="J297">
            <v>3573</v>
          </cell>
          <cell r="K297" t="str">
            <v>ind_pr</v>
          </cell>
          <cell r="L297">
            <v>4211.45</v>
          </cell>
          <cell r="M297">
            <v>0</v>
          </cell>
          <cell r="N297" t="str">
            <v>hosp_pr</v>
          </cell>
          <cell r="O297">
            <v>4567</v>
          </cell>
          <cell r="P297">
            <v>0</v>
          </cell>
        </row>
        <row r="298">
          <cell r="A298" t="str">
            <v>Ramilandia</v>
          </cell>
          <cell r="B298" t="str">
            <v>var_op</v>
          </cell>
          <cell r="C298">
            <v>4410</v>
          </cell>
          <cell r="D298">
            <v>4219</v>
          </cell>
          <cell r="E298" t="str">
            <v>dist</v>
          </cell>
          <cell r="F298">
            <v>4764</v>
          </cell>
          <cell r="G298">
            <v>4515</v>
          </cell>
          <cell r="H298" t="str">
            <v>labo</v>
          </cell>
          <cell r="I298">
            <v>3763.08</v>
          </cell>
          <cell r="J298">
            <v>3573</v>
          </cell>
          <cell r="K298" t="str">
            <v>ind_pr</v>
          </cell>
          <cell r="L298">
            <v>4211.45</v>
          </cell>
          <cell r="M298">
            <v>0</v>
          </cell>
          <cell r="N298" t="str">
            <v>hosp_pr</v>
          </cell>
          <cell r="O298">
            <v>4567</v>
          </cell>
          <cell r="P298">
            <v>0</v>
          </cell>
        </row>
        <row r="299">
          <cell r="A299" t="str">
            <v>Rancho Alegre</v>
          </cell>
          <cell r="B299" t="str">
            <v>var_pr</v>
          </cell>
          <cell r="C299">
            <v>4729.62</v>
          </cell>
          <cell r="D299">
            <v>4729.62</v>
          </cell>
          <cell r="E299" t="str">
            <v>dist</v>
          </cell>
          <cell r="F299">
            <v>4764</v>
          </cell>
          <cell r="G299">
            <v>4515</v>
          </cell>
          <cell r="H299" t="str">
            <v>labo</v>
          </cell>
          <cell r="I299">
            <v>3763.08</v>
          </cell>
          <cell r="J299">
            <v>3573</v>
          </cell>
          <cell r="K299" t="str">
            <v>ind_pr</v>
          </cell>
          <cell r="L299">
            <v>4211.45</v>
          </cell>
          <cell r="M299">
            <v>0</v>
          </cell>
          <cell r="N299">
            <v>0</v>
          </cell>
          <cell r="O299" t="e">
            <v>#N/A</v>
          </cell>
          <cell r="P299" t="e">
            <v>#N/A</v>
          </cell>
        </row>
        <row r="300">
          <cell r="A300" t="str">
            <v>Rancho Alegre do Oeste</v>
          </cell>
          <cell r="B300" t="str">
            <v>var_pr</v>
          </cell>
          <cell r="C300">
            <v>4729.62</v>
          </cell>
          <cell r="D300">
            <v>4729.62</v>
          </cell>
          <cell r="E300" t="str">
            <v>dist</v>
          </cell>
          <cell r="F300">
            <v>4764</v>
          </cell>
          <cell r="G300">
            <v>4515</v>
          </cell>
          <cell r="H300" t="str">
            <v>labo</v>
          </cell>
          <cell r="I300">
            <v>3763.08</v>
          </cell>
          <cell r="J300">
            <v>3573</v>
          </cell>
          <cell r="K300" t="str">
            <v>ind_pr</v>
          </cell>
          <cell r="L300">
            <v>4211.45</v>
          </cell>
          <cell r="M300">
            <v>0</v>
          </cell>
          <cell r="N300" t="str">
            <v>hosp_cm</v>
          </cell>
          <cell r="O300">
            <v>4133.2</v>
          </cell>
          <cell r="P300">
            <v>0</v>
          </cell>
        </row>
        <row r="301">
          <cell r="A301" t="str">
            <v>Realeza</v>
          </cell>
          <cell r="B301" t="str">
            <v>var_pr</v>
          </cell>
          <cell r="C301">
            <v>4729.62</v>
          </cell>
          <cell r="D301">
            <v>4729.62</v>
          </cell>
          <cell r="E301" t="str">
            <v>dist</v>
          </cell>
          <cell r="F301">
            <v>4764</v>
          </cell>
          <cell r="G301">
            <v>4515</v>
          </cell>
          <cell r="H301" t="str">
            <v>labo</v>
          </cell>
          <cell r="I301">
            <v>3763.08</v>
          </cell>
          <cell r="J301">
            <v>3573</v>
          </cell>
          <cell r="K301" t="str">
            <v>ind_pr</v>
          </cell>
          <cell r="L301">
            <v>4211.45</v>
          </cell>
          <cell r="M301">
            <v>0</v>
          </cell>
          <cell r="N301" t="str">
            <v>hosp_sudpr</v>
          </cell>
          <cell r="O301">
            <v>1760</v>
          </cell>
          <cell r="P301">
            <v>0</v>
          </cell>
        </row>
        <row r="302">
          <cell r="A302" t="str">
            <v>Rebouças</v>
          </cell>
          <cell r="B302" t="str">
            <v>var_pr</v>
          </cell>
          <cell r="C302">
            <v>4729.62</v>
          </cell>
          <cell r="D302">
            <v>4729.62</v>
          </cell>
          <cell r="E302" t="str">
            <v>dist</v>
          </cell>
          <cell r="F302">
            <v>4764</v>
          </cell>
          <cell r="G302">
            <v>4515</v>
          </cell>
          <cell r="H302" t="str">
            <v>labo</v>
          </cell>
          <cell r="I302">
            <v>3763.08</v>
          </cell>
          <cell r="J302">
            <v>3573</v>
          </cell>
          <cell r="K302" t="str">
            <v>ind_pr</v>
          </cell>
          <cell r="L302">
            <v>4211.45</v>
          </cell>
          <cell r="M302">
            <v>0</v>
          </cell>
          <cell r="N302">
            <v>0</v>
          </cell>
          <cell r="O302" t="e">
            <v>#N/A</v>
          </cell>
          <cell r="P302" t="e">
            <v>#N/A</v>
          </cell>
        </row>
        <row r="303">
          <cell r="A303" t="str">
            <v>Renascença</v>
          </cell>
          <cell r="B303" t="str">
            <v>var_pr</v>
          </cell>
          <cell r="C303">
            <v>4729.62</v>
          </cell>
          <cell r="D303">
            <v>4729.62</v>
          </cell>
          <cell r="E303" t="str">
            <v>dist</v>
          </cell>
          <cell r="F303">
            <v>4764</v>
          </cell>
          <cell r="G303">
            <v>4515</v>
          </cell>
          <cell r="H303" t="str">
            <v>labo</v>
          </cell>
          <cell r="I303">
            <v>3763.08</v>
          </cell>
          <cell r="J303">
            <v>3573</v>
          </cell>
          <cell r="K303" t="str">
            <v>ind_pr</v>
          </cell>
          <cell r="L303">
            <v>4211.45</v>
          </cell>
          <cell r="M303">
            <v>0</v>
          </cell>
          <cell r="N303" t="str">
            <v>hosp_sudpr</v>
          </cell>
          <cell r="O303">
            <v>1760</v>
          </cell>
          <cell r="P303">
            <v>0</v>
          </cell>
        </row>
        <row r="304">
          <cell r="A304" t="str">
            <v>Reserva</v>
          </cell>
          <cell r="B304" t="str">
            <v>var_pr</v>
          </cell>
          <cell r="C304">
            <v>4729.62</v>
          </cell>
          <cell r="D304">
            <v>4729.62</v>
          </cell>
          <cell r="E304" t="str">
            <v>dist</v>
          </cell>
          <cell r="F304">
            <v>4764</v>
          </cell>
          <cell r="G304">
            <v>4515</v>
          </cell>
          <cell r="H304" t="str">
            <v>labo</v>
          </cell>
          <cell r="I304">
            <v>3763.08</v>
          </cell>
          <cell r="J304">
            <v>3573</v>
          </cell>
          <cell r="K304" t="str">
            <v>ind_pr</v>
          </cell>
          <cell r="L304">
            <v>4211.45</v>
          </cell>
          <cell r="M304">
            <v>0</v>
          </cell>
          <cell r="N304" t="str">
            <v>hosp_pr</v>
          </cell>
          <cell r="O304">
            <v>4567</v>
          </cell>
          <cell r="P304">
            <v>0</v>
          </cell>
        </row>
        <row r="305">
          <cell r="A305" t="str">
            <v>Reserva do Iguaçu</v>
          </cell>
          <cell r="B305" t="str">
            <v>var_pr</v>
          </cell>
          <cell r="C305">
            <v>4729.62</v>
          </cell>
          <cell r="D305">
            <v>4729.62</v>
          </cell>
          <cell r="E305" t="str">
            <v>dist</v>
          </cell>
          <cell r="F305">
            <v>4764</v>
          </cell>
          <cell r="G305">
            <v>4515</v>
          </cell>
          <cell r="H305" t="str">
            <v>labo</v>
          </cell>
          <cell r="I305">
            <v>3763.08</v>
          </cell>
          <cell r="J305">
            <v>3573</v>
          </cell>
          <cell r="K305" t="str">
            <v>ind_pr</v>
          </cell>
          <cell r="L305">
            <v>4211.45</v>
          </cell>
          <cell r="M305">
            <v>0</v>
          </cell>
          <cell r="N305" t="str">
            <v>hosp_co</v>
          </cell>
          <cell r="O305">
            <v>3036.29</v>
          </cell>
          <cell r="P305">
            <v>0</v>
          </cell>
        </row>
        <row r="306">
          <cell r="A306" t="str">
            <v>Ribeirao Claro</v>
          </cell>
          <cell r="B306" t="str">
            <v>var_pr</v>
          </cell>
          <cell r="C306">
            <v>4729.62</v>
          </cell>
          <cell r="D306">
            <v>4729.62</v>
          </cell>
          <cell r="E306" t="str">
            <v>dist</v>
          </cell>
          <cell r="F306">
            <v>4764</v>
          </cell>
          <cell r="G306">
            <v>4515</v>
          </cell>
          <cell r="H306" t="str">
            <v>labo</v>
          </cell>
          <cell r="I306">
            <v>3763.08</v>
          </cell>
          <cell r="J306">
            <v>3573</v>
          </cell>
          <cell r="K306" t="str">
            <v>ind_pr</v>
          </cell>
          <cell r="L306">
            <v>4211.45</v>
          </cell>
          <cell r="M306">
            <v>0</v>
          </cell>
          <cell r="N306" t="str">
            <v>hosp_nor</v>
          </cell>
          <cell r="O306">
            <v>1760</v>
          </cell>
          <cell r="P306">
            <v>0</v>
          </cell>
        </row>
        <row r="307">
          <cell r="A307" t="str">
            <v>Ribeirao do Pinhal</v>
          </cell>
          <cell r="B307" t="str">
            <v>var_sto</v>
          </cell>
          <cell r="C307">
            <v>5030</v>
          </cell>
          <cell r="D307">
            <v>5030</v>
          </cell>
          <cell r="E307" t="str">
            <v>dist</v>
          </cell>
          <cell r="F307">
            <v>4764</v>
          </cell>
          <cell r="G307">
            <v>4515</v>
          </cell>
          <cell r="H307" t="str">
            <v>labo</v>
          </cell>
          <cell r="I307">
            <v>3763.08</v>
          </cell>
          <cell r="J307">
            <v>3573</v>
          </cell>
          <cell r="K307" t="str">
            <v>ind_pr</v>
          </cell>
          <cell r="L307">
            <v>4211.45</v>
          </cell>
          <cell r="M307">
            <v>0</v>
          </cell>
          <cell r="N307">
            <v>0</v>
          </cell>
          <cell r="O307" t="e">
            <v>#N/A</v>
          </cell>
          <cell r="P307" t="e">
            <v>#N/A</v>
          </cell>
        </row>
        <row r="308">
          <cell r="A308" t="str">
            <v>Rio Azul</v>
          </cell>
          <cell r="B308" t="str">
            <v>var_pr</v>
          </cell>
          <cell r="C308">
            <v>4729.62</v>
          </cell>
          <cell r="D308">
            <v>4729.62</v>
          </cell>
          <cell r="E308" t="str">
            <v>dist</v>
          </cell>
          <cell r="F308">
            <v>4764</v>
          </cell>
          <cell r="G308">
            <v>4515</v>
          </cell>
          <cell r="H308" t="str">
            <v>labo</v>
          </cell>
          <cell r="I308">
            <v>3763.08</v>
          </cell>
          <cell r="J308">
            <v>3573</v>
          </cell>
          <cell r="K308" t="str">
            <v>ind_pr</v>
          </cell>
          <cell r="L308">
            <v>4211.45</v>
          </cell>
          <cell r="M308">
            <v>0</v>
          </cell>
          <cell r="N308">
            <v>0</v>
          </cell>
          <cell r="O308" t="e">
            <v>#N/A</v>
          </cell>
          <cell r="P308" t="e">
            <v>#N/A</v>
          </cell>
        </row>
        <row r="309">
          <cell r="A309" t="str">
            <v>Rio Bom</v>
          </cell>
          <cell r="B309" t="str">
            <v>var_pr</v>
          </cell>
          <cell r="C309">
            <v>4729.62</v>
          </cell>
          <cell r="D309">
            <v>4729.62</v>
          </cell>
          <cell r="E309" t="str">
            <v>dist</v>
          </cell>
          <cell r="F309">
            <v>4764</v>
          </cell>
          <cell r="G309">
            <v>4515</v>
          </cell>
          <cell r="H309" t="str">
            <v>labo</v>
          </cell>
          <cell r="I309">
            <v>3763.08</v>
          </cell>
          <cell r="J309">
            <v>3573</v>
          </cell>
          <cell r="K309" t="str">
            <v>ind_pr</v>
          </cell>
          <cell r="L309">
            <v>4211.45</v>
          </cell>
          <cell r="M309">
            <v>0</v>
          </cell>
          <cell r="N309">
            <v>0</v>
          </cell>
          <cell r="O309" t="e">
            <v>#N/A</v>
          </cell>
          <cell r="P309" t="e">
            <v>#N/A</v>
          </cell>
        </row>
        <row r="310">
          <cell r="A310" t="str">
            <v>Rio Bonito do Iguaçu</v>
          </cell>
          <cell r="B310" t="str">
            <v>var_pr</v>
          </cell>
          <cell r="C310">
            <v>4729.62</v>
          </cell>
          <cell r="D310">
            <v>4729.62</v>
          </cell>
          <cell r="E310" t="str">
            <v>dist</v>
          </cell>
          <cell r="F310">
            <v>4764</v>
          </cell>
          <cell r="G310">
            <v>4515</v>
          </cell>
          <cell r="H310" t="str">
            <v>labo</v>
          </cell>
          <cell r="I310">
            <v>3763.08</v>
          </cell>
          <cell r="J310">
            <v>3573</v>
          </cell>
          <cell r="K310" t="str">
            <v>ind_pr</v>
          </cell>
          <cell r="L310">
            <v>4211.45</v>
          </cell>
          <cell r="M310">
            <v>0</v>
          </cell>
          <cell r="N310" t="str">
            <v>hosp_co</v>
          </cell>
          <cell r="O310">
            <v>3036.29</v>
          </cell>
          <cell r="P310">
            <v>0</v>
          </cell>
        </row>
        <row r="311">
          <cell r="A311" t="str">
            <v>Rio Branco do Ivai</v>
          </cell>
          <cell r="B311" t="str">
            <v>var_pr</v>
          </cell>
          <cell r="C311">
            <v>4729.62</v>
          </cell>
          <cell r="D311">
            <v>4729.62</v>
          </cell>
          <cell r="E311" t="str">
            <v>dist</v>
          </cell>
          <cell r="F311">
            <v>4764</v>
          </cell>
          <cell r="G311">
            <v>4515</v>
          </cell>
          <cell r="H311" t="str">
            <v>labo</v>
          </cell>
          <cell r="I311">
            <v>3763.08</v>
          </cell>
          <cell r="J311">
            <v>3573</v>
          </cell>
          <cell r="K311" t="str">
            <v>ind_pr</v>
          </cell>
          <cell r="L311">
            <v>4211.45</v>
          </cell>
          <cell r="M311">
            <v>0</v>
          </cell>
          <cell r="N311">
            <v>0</v>
          </cell>
          <cell r="O311" t="e">
            <v>#N/A</v>
          </cell>
          <cell r="P311" t="e">
            <v>#N/A</v>
          </cell>
        </row>
        <row r="312">
          <cell r="A312" t="str">
            <v>Rio Branco do Sul</v>
          </cell>
          <cell r="B312" t="str">
            <v>var_pr</v>
          </cell>
          <cell r="C312">
            <v>4729.62</v>
          </cell>
          <cell r="D312">
            <v>4729.62</v>
          </cell>
          <cell r="E312" t="str">
            <v>dist</v>
          </cell>
          <cell r="F312">
            <v>4764</v>
          </cell>
          <cell r="G312">
            <v>4515</v>
          </cell>
          <cell r="H312" t="str">
            <v>labo</v>
          </cell>
          <cell r="I312">
            <v>3763.08</v>
          </cell>
          <cell r="J312">
            <v>3573</v>
          </cell>
          <cell r="K312" t="str">
            <v>ind_pr</v>
          </cell>
          <cell r="L312">
            <v>4211.45</v>
          </cell>
          <cell r="M312">
            <v>0</v>
          </cell>
          <cell r="N312" t="str">
            <v>hosp_pr</v>
          </cell>
          <cell r="O312">
            <v>4567</v>
          </cell>
          <cell r="P312">
            <v>0</v>
          </cell>
        </row>
        <row r="313">
          <cell r="A313" t="str">
            <v>Rio Negro</v>
          </cell>
          <cell r="B313" t="str">
            <v>var_pr</v>
          </cell>
          <cell r="C313">
            <v>4729.62</v>
          </cell>
          <cell r="D313">
            <v>4729.62</v>
          </cell>
          <cell r="E313" t="str">
            <v>dist</v>
          </cell>
          <cell r="F313">
            <v>4764</v>
          </cell>
          <cell r="G313">
            <v>4515</v>
          </cell>
          <cell r="H313" t="str">
            <v>labo</v>
          </cell>
          <cell r="I313">
            <v>3763.08</v>
          </cell>
          <cell r="J313">
            <v>3573</v>
          </cell>
          <cell r="K313" t="str">
            <v>ind_pr</v>
          </cell>
          <cell r="L313">
            <v>4211.45</v>
          </cell>
          <cell r="M313">
            <v>0</v>
          </cell>
          <cell r="N313" t="str">
            <v>hosp_pr</v>
          </cell>
          <cell r="O313">
            <v>4567</v>
          </cell>
          <cell r="P313">
            <v>0</v>
          </cell>
        </row>
        <row r="314">
          <cell r="A314" t="str">
            <v>Rolandia</v>
          </cell>
          <cell r="B314" t="str">
            <v>var_ld</v>
          </cell>
          <cell r="C314">
            <v>4750</v>
          </cell>
          <cell r="D314">
            <v>4527</v>
          </cell>
          <cell r="E314" t="str">
            <v>dist</v>
          </cell>
          <cell r="F314">
            <v>4764</v>
          </cell>
          <cell r="G314">
            <v>4515</v>
          </cell>
          <cell r="H314" t="str">
            <v>labo</v>
          </cell>
          <cell r="I314">
            <v>3763.08</v>
          </cell>
          <cell r="J314">
            <v>3573</v>
          </cell>
          <cell r="K314" t="str">
            <v>ind_nor</v>
          </cell>
          <cell r="L314">
            <v>3446</v>
          </cell>
          <cell r="M314">
            <v>0</v>
          </cell>
          <cell r="N314">
            <v>0</v>
          </cell>
          <cell r="O314" t="e">
            <v>#N/A</v>
          </cell>
          <cell r="P314" t="e">
            <v>#N/A</v>
          </cell>
        </row>
        <row r="315">
          <cell r="A315" t="str">
            <v>Roncador</v>
          </cell>
          <cell r="B315" t="str">
            <v>var_pr</v>
          </cell>
          <cell r="C315">
            <v>4729.62</v>
          </cell>
          <cell r="D315">
            <v>4729.62</v>
          </cell>
          <cell r="E315" t="str">
            <v>dist</v>
          </cell>
          <cell r="F315">
            <v>4764</v>
          </cell>
          <cell r="G315">
            <v>4515</v>
          </cell>
          <cell r="H315" t="str">
            <v>labo</v>
          </cell>
          <cell r="I315">
            <v>3763.08</v>
          </cell>
          <cell r="J315">
            <v>3573</v>
          </cell>
          <cell r="K315" t="str">
            <v>ind_pr</v>
          </cell>
          <cell r="L315">
            <v>4211.45</v>
          </cell>
          <cell r="M315">
            <v>0</v>
          </cell>
          <cell r="N315" t="str">
            <v>hosp_cm</v>
          </cell>
          <cell r="O315">
            <v>4133.2</v>
          </cell>
          <cell r="P315">
            <v>0</v>
          </cell>
        </row>
        <row r="316">
          <cell r="A316" t="str">
            <v>Rondon</v>
          </cell>
          <cell r="B316" t="str">
            <v>var_pr</v>
          </cell>
          <cell r="C316">
            <v>4729.62</v>
          </cell>
          <cell r="D316">
            <v>4729.62</v>
          </cell>
          <cell r="E316" t="str">
            <v>dist</v>
          </cell>
          <cell r="F316">
            <v>4764</v>
          </cell>
          <cell r="G316">
            <v>4515</v>
          </cell>
          <cell r="H316" t="str">
            <v>labo</v>
          </cell>
          <cell r="I316">
            <v>3763.08</v>
          </cell>
          <cell r="J316">
            <v>3573</v>
          </cell>
          <cell r="K316" t="str">
            <v>ind_pr</v>
          </cell>
          <cell r="L316">
            <v>4211.45</v>
          </cell>
          <cell r="M316">
            <v>0</v>
          </cell>
          <cell r="N316" t="str">
            <v>hosp_cia</v>
          </cell>
          <cell r="O316">
            <v>4003.87</v>
          </cell>
          <cell r="P316">
            <v>0</v>
          </cell>
        </row>
        <row r="317">
          <cell r="A317" t="str">
            <v>Rosario do Ivai</v>
          </cell>
          <cell r="B317" t="str">
            <v>var_pr</v>
          </cell>
          <cell r="C317">
            <v>4729.62</v>
          </cell>
          <cell r="D317">
            <v>4729.62</v>
          </cell>
          <cell r="E317" t="str">
            <v>dist</v>
          </cell>
          <cell r="F317">
            <v>4764</v>
          </cell>
          <cell r="G317">
            <v>4515</v>
          </cell>
          <cell r="H317" t="str">
            <v>labo</v>
          </cell>
          <cell r="I317">
            <v>3763.08</v>
          </cell>
          <cell r="J317">
            <v>3573</v>
          </cell>
          <cell r="K317" t="str">
            <v>ind_pr</v>
          </cell>
          <cell r="L317">
            <v>4211.45</v>
          </cell>
          <cell r="M317">
            <v>0</v>
          </cell>
          <cell r="N317">
            <v>0</v>
          </cell>
          <cell r="O317" t="e">
            <v>#N/A</v>
          </cell>
          <cell r="P317" t="e">
            <v>#N/A</v>
          </cell>
        </row>
        <row r="318">
          <cell r="A318" t="str">
            <v>Sabaudia</v>
          </cell>
          <cell r="B318" t="str">
            <v>var_pr</v>
          </cell>
          <cell r="C318">
            <v>4729.62</v>
          </cell>
          <cell r="D318">
            <v>4729.62</v>
          </cell>
          <cell r="E318" t="str">
            <v>dist</v>
          </cell>
          <cell r="F318">
            <v>4764</v>
          </cell>
          <cell r="G318">
            <v>4515</v>
          </cell>
          <cell r="H318" t="str">
            <v>labo</v>
          </cell>
          <cell r="I318">
            <v>3763.08</v>
          </cell>
          <cell r="J318">
            <v>3573</v>
          </cell>
          <cell r="K318" t="str">
            <v>ind_pr</v>
          </cell>
          <cell r="L318">
            <v>4211.45</v>
          </cell>
          <cell r="M318">
            <v>0</v>
          </cell>
          <cell r="N318">
            <v>0</v>
          </cell>
          <cell r="O318" t="e">
            <v>#N/A</v>
          </cell>
          <cell r="P318" t="e">
            <v>#N/A</v>
          </cell>
        </row>
        <row r="319">
          <cell r="A319" t="str">
            <v>Salgado Filho</v>
          </cell>
          <cell r="B319" t="str">
            <v>var_pr</v>
          </cell>
          <cell r="C319">
            <v>4729.62</v>
          </cell>
          <cell r="D319">
            <v>4729.62</v>
          </cell>
          <cell r="E319" t="str">
            <v>dist</v>
          </cell>
          <cell r="F319">
            <v>4764</v>
          </cell>
          <cell r="G319">
            <v>4515</v>
          </cell>
          <cell r="H319" t="str">
            <v>labo</v>
          </cell>
          <cell r="I319">
            <v>3763.08</v>
          </cell>
          <cell r="J319">
            <v>3573</v>
          </cell>
          <cell r="K319" t="str">
            <v>ind_pr</v>
          </cell>
          <cell r="L319">
            <v>4211.45</v>
          </cell>
          <cell r="M319">
            <v>0</v>
          </cell>
          <cell r="N319" t="str">
            <v>hosp_sudpr</v>
          </cell>
          <cell r="O319">
            <v>1760</v>
          </cell>
          <cell r="P319">
            <v>0</v>
          </cell>
        </row>
        <row r="320">
          <cell r="A320" t="str">
            <v>Salto do Itarare</v>
          </cell>
          <cell r="B320" t="str">
            <v>var_sto</v>
          </cell>
          <cell r="C320">
            <v>5030</v>
          </cell>
          <cell r="D320">
            <v>5030</v>
          </cell>
          <cell r="E320" t="str">
            <v>dist</v>
          </cell>
          <cell r="F320">
            <v>4764</v>
          </cell>
          <cell r="G320">
            <v>4515</v>
          </cell>
          <cell r="H320" t="str">
            <v>labo</v>
          </cell>
          <cell r="I320">
            <v>3763.08</v>
          </cell>
          <cell r="J320">
            <v>3573</v>
          </cell>
          <cell r="K320" t="str">
            <v>ind_pr</v>
          </cell>
          <cell r="L320">
            <v>4211.45</v>
          </cell>
          <cell r="M320">
            <v>0</v>
          </cell>
          <cell r="N320" t="str">
            <v>hosp_nor</v>
          </cell>
          <cell r="O320">
            <v>1760</v>
          </cell>
          <cell r="P320">
            <v>0</v>
          </cell>
        </row>
        <row r="321">
          <cell r="A321" t="str">
            <v>Salto do Lontra</v>
          </cell>
          <cell r="B321" t="str">
            <v>var_pr</v>
          </cell>
          <cell r="C321">
            <v>4729.62</v>
          </cell>
          <cell r="D321">
            <v>4729.62</v>
          </cell>
          <cell r="E321" t="str">
            <v>dist</v>
          </cell>
          <cell r="F321">
            <v>4764</v>
          </cell>
          <cell r="G321">
            <v>4515</v>
          </cell>
          <cell r="H321" t="str">
            <v>labo</v>
          </cell>
          <cell r="I321">
            <v>3763.08</v>
          </cell>
          <cell r="J321">
            <v>3573</v>
          </cell>
          <cell r="K321" t="str">
            <v>ind_pr</v>
          </cell>
          <cell r="L321">
            <v>4211.45</v>
          </cell>
          <cell r="M321">
            <v>0</v>
          </cell>
          <cell r="N321" t="str">
            <v>hosp_sudpr</v>
          </cell>
          <cell r="O321">
            <v>1760</v>
          </cell>
          <cell r="P321">
            <v>0</v>
          </cell>
        </row>
        <row r="322">
          <cell r="A322" t="str">
            <v>Santa Amelia</v>
          </cell>
          <cell r="B322" t="str">
            <v>var_pr</v>
          </cell>
          <cell r="C322">
            <v>4729.62</v>
          </cell>
          <cell r="D322">
            <v>4729.62</v>
          </cell>
          <cell r="E322" t="str">
            <v>dist</v>
          </cell>
          <cell r="F322">
            <v>4764</v>
          </cell>
          <cell r="G322">
            <v>4515</v>
          </cell>
          <cell r="H322" t="str">
            <v>labo</v>
          </cell>
          <cell r="I322">
            <v>3763.08</v>
          </cell>
          <cell r="J322">
            <v>3573</v>
          </cell>
          <cell r="K322" t="str">
            <v>ind_pr</v>
          </cell>
          <cell r="L322">
            <v>4211.45</v>
          </cell>
          <cell r="M322">
            <v>0</v>
          </cell>
          <cell r="N322">
            <v>0</v>
          </cell>
          <cell r="O322" t="e">
            <v>#N/A</v>
          </cell>
          <cell r="P322" t="e">
            <v>#N/A</v>
          </cell>
        </row>
        <row r="323">
          <cell r="A323" t="str">
            <v>Santa Cecilia do Pavao</v>
          </cell>
          <cell r="B323" t="str">
            <v>var_pr</v>
          </cell>
          <cell r="C323">
            <v>4729.62</v>
          </cell>
          <cell r="D323">
            <v>4729.62</v>
          </cell>
          <cell r="E323" t="str">
            <v>dist</v>
          </cell>
          <cell r="F323">
            <v>4764</v>
          </cell>
          <cell r="G323">
            <v>4515</v>
          </cell>
          <cell r="H323" t="str">
            <v>labo</v>
          </cell>
          <cell r="I323">
            <v>3763.08</v>
          </cell>
          <cell r="J323">
            <v>3573</v>
          </cell>
          <cell r="K323" t="str">
            <v>ind_pr</v>
          </cell>
          <cell r="L323">
            <v>4211.45</v>
          </cell>
          <cell r="M323">
            <v>0</v>
          </cell>
          <cell r="N323">
            <v>0</v>
          </cell>
          <cell r="O323" t="e">
            <v>#N/A</v>
          </cell>
          <cell r="P323" t="e">
            <v>#N/A</v>
          </cell>
        </row>
        <row r="324">
          <cell r="A324" t="str">
            <v>Santa Cruz de Monte Castelo</v>
          </cell>
          <cell r="B324" t="str">
            <v>var_par</v>
          </cell>
          <cell r="C324">
            <v>4846</v>
          </cell>
          <cell r="D324">
            <v>4846</v>
          </cell>
          <cell r="E324" t="str">
            <v>dist</v>
          </cell>
          <cell r="F324">
            <v>4764</v>
          </cell>
          <cell r="G324">
            <v>4515</v>
          </cell>
          <cell r="H324" t="str">
            <v>labo</v>
          </cell>
          <cell r="I324">
            <v>3763.08</v>
          </cell>
          <cell r="J324">
            <v>3573</v>
          </cell>
          <cell r="K324" t="str">
            <v>ind_pr</v>
          </cell>
          <cell r="L324">
            <v>4211.45</v>
          </cell>
          <cell r="M324">
            <v>0</v>
          </cell>
          <cell r="N324">
            <v>0</v>
          </cell>
          <cell r="O324" t="e">
            <v>#N/A</v>
          </cell>
          <cell r="P324" t="e">
            <v>#N/A</v>
          </cell>
        </row>
        <row r="325">
          <cell r="A325" t="str">
            <v>Santa Fe</v>
          </cell>
          <cell r="B325" t="str">
            <v>var_pr</v>
          </cell>
          <cell r="C325">
            <v>4729.62</v>
          </cell>
          <cell r="D325">
            <v>4729.62</v>
          </cell>
          <cell r="E325" t="str">
            <v>dist</v>
          </cell>
          <cell r="F325">
            <v>4764</v>
          </cell>
          <cell r="G325">
            <v>4515</v>
          </cell>
          <cell r="H325" t="str">
            <v>labo</v>
          </cell>
          <cell r="I325">
            <v>3763.08</v>
          </cell>
          <cell r="J325">
            <v>3573</v>
          </cell>
          <cell r="K325" t="str">
            <v>ind_pr</v>
          </cell>
          <cell r="L325">
            <v>4211.45</v>
          </cell>
          <cell r="M325">
            <v>0</v>
          </cell>
          <cell r="N325" t="str">
            <v>hosp_mg</v>
          </cell>
          <cell r="O325">
            <v>3888.38</v>
          </cell>
          <cell r="P325">
            <v>0</v>
          </cell>
        </row>
        <row r="326">
          <cell r="A326" t="str">
            <v>Santa Helena</v>
          </cell>
          <cell r="B326" t="str">
            <v>var_op</v>
          </cell>
          <cell r="C326">
            <v>4410</v>
          </cell>
          <cell r="D326">
            <v>4219</v>
          </cell>
          <cell r="E326" t="str">
            <v>dist</v>
          </cell>
          <cell r="F326">
            <v>4764</v>
          </cell>
          <cell r="G326">
            <v>4515</v>
          </cell>
          <cell r="H326" t="str">
            <v>labo</v>
          </cell>
          <cell r="I326">
            <v>3763.08</v>
          </cell>
          <cell r="J326">
            <v>3573</v>
          </cell>
          <cell r="K326" t="str">
            <v>ind_pr</v>
          </cell>
          <cell r="L326">
            <v>4211.45</v>
          </cell>
          <cell r="M326">
            <v>0</v>
          </cell>
          <cell r="N326" t="str">
            <v>hosp_pr</v>
          </cell>
          <cell r="O326">
            <v>4567</v>
          </cell>
          <cell r="P326">
            <v>0</v>
          </cell>
        </row>
        <row r="327">
          <cell r="A327" t="str">
            <v>Santa Ines</v>
          </cell>
          <cell r="B327" t="str">
            <v>var_pr</v>
          </cell>
          <cell r="C327">
            <v>4729.62</v>
          </cell>
          <cell r="D327">
            <v>4729.62</v>
          </cell>
          <cell r="E327" t="str">
            <v>dist</v>
          </cell>
          <cell r="F327">
            <v>4764</v>
          </cell>
          <cell r="G327">
            <v>4515</v>
          </cell>
          <cell r="H327" t="str">
            <v>labo</v>
          </cell>
          <cell r="I327">
            <v>3763.08</v>
          </cell>
          <cell r="J327">
            <v>3573</v>
          </cell>
          <cell r="K327" t="str">
            <v>ind_pr</v>
          </cell>
          <cell r="L327">
            <v>4211.45</v>
          </cell>
          <cell r="M327">
            <v>0</v>
          </cell>
          <cell r="N327" t="str">
            <v>hosp_mg</v>
          </cell>
          <cell r="O327">
            <v>3888.38</v>
          </cell>
          <cell r="P327">
            <v>0</v>
          </cell>
        </row>
        <row r="328">
          <cell r="A328" t="str">
            <v>Santa Isabel do Ivai</v>
          </cell>
          <cell r="B328" t="str">
            <v>var_par</v>
          </cell>
          <cell r="C328">
            <v>4846</v>
          </cell>
          <cell r="D328">
            <v>4846</v>
          </cell>
          <cell r="E328" t="str">
            <v>dist</v>
          </cell>
          <cell r="F328">
            <v>4764</v>
          </cell>
          <cell r="G328">
            <v>4515</v>
          </cell>
          <cell r="H328" t="str">
            <v>labo</v>
          </cell>
          <cell r="I328">
            <v>3763.08</v>
          </cell>
          <cell r="J328">
            <v>3573</v>
          </cell>
          <cell r="K328" t="str">
            <v>ind_pr</v>
          </cell>
          <cell r="L328">
            <v>4211.45</v>
          </cell>
          <cell r="M328">
            <v>0</v>
          </cell>
          <cell r="N328">
            <v>0</v>
          </cell>
          <cell r="O328" t="e">
            <v>#N/A</v>
          </cell>
          <cell r="P328" t="e">
            <v>#N/A</v>
          </cell>
        </row>
        <row r="329">
          <cell r="A329" t="str">
            <v>Santa Izabel do Oeste</v>
          </cell>
          <cell r="B329" t="str">
            <v>var_pr</v>
          </cell>
          <cell r="C329">
            <v>4729.62</v>
          </cell>
          <cell r="D329">
            <v>4729.62</v>
          </cell>
          <cell r="E329" t="str">
            <v>dist</v>
          </cell>
          <cell r="F329">
            <v>4764</v>
          </cell>
          <cell r="G329">
            <v>4515</v>
          </cell>
          <cell r="H329" t="str">
            <v>labo</v>
          </cell>
          <cell r="I329">
            <v>3763.08</v>
          </cell>
          <cell r="J329">
            <v>3573</v>
          </cell>
          <cell r="K329" t="str">
            <v>ind_pr</v>
          </cell>
          <cell r="L329">
            <v>4211.45</v>
          </cell>
          <cell r="M329">
            <v>0</v>
          </cell>
          <cell r="N329" t="str">
            <v>hosp_sudpr</v>
          </cell>
          <cell r="O329">
            <v>1760</v>
          </cell>
          <cell r="P329">
            <v>0</v>
          </cell>
        </row>
        <row r="330">
          <cell r="A330" t="str">
            <v>Santa Lucia</v>
          </cell>
          <cell r="B330" t="str">
            <v>var_op</v>
          </cell>
          <cell r="C330">
            <v>4410</v>
          </cell>
          <cell r="D330">
            <v>4219</v>
          </cell>
          <cell r="E330" t="str">
            <v>dist</v>
          </cell>
          <cell r="F330">
            <v>4764</v>
          </cell>
          <cell r="G330">
            <v>4515</v>
          </cell>
          <cell r="H330" t="str">
            <v>labo</v>
          </cell>
          <cell r="I330">
            <v>3763.08</v>
          </cell>
          <cell r="J330">
            <v>3573</v>
          </cell>
          <cell r="K330" t="str">
            <v>ind_pr</v>
          </cell>
          <cell r="L330">
            <v>4211.45</v>
          </cell>
          <cell r="M330">
            <v>0</v>
          </cell>
          <cell r="N330">
            <v>0</v>
          </cell>
          <cell r="O330" t="e">
            <v>#N/A</v>
          </cell>
          <cell r="P330" t="e">
            <v>#N/A</v>
          </cell>
        </row>
        <row r="331">
          <cell r="A331" t="str">
            <v>Santa Maria do Oeste</v>
          </cell>
          <cell r="B331" t="str">
            <v>var_pr</v>
          </cell>
          <cell r="C331">
            <v>4729.62</v>
          </cell>
          <cell r="D331">
            <v>4729.62</v>
          </cell>
          <cell r="E331" t="str">
            <v>dist</v>
          </cell>
          <cell r="F331">
            <v>4764</v>
          </cell>
          <cell r="G331">
            <v>4515</v>
          </cell>
          <cell r="H331" t="str">
            <v>labo</v>
          </cell>
          <cell r="I331">
            <v>3763.08</v>
          </cell>
          <cell r="J331">
            <v>3573</v>
          </cell>
          <cell r="K331" t="str">
            <v>ind_pr</v>
          </cell>
          <cell r="L331">
            <v>4211.45</v>
          </cell>
          <cell r="M331">
            <v>0</v>
          </cell>
          <cell r="N331" t="str">
            <v>hosp_co</v>
          </cell>
          <cell r="O331">
            <v>3036.29</v>
          </cell>
          <cell r="P331">
            <v>0</v>
          </cell>
        </row>
        <row r="332">
          <cell r="A332" t="str">
            <v>Santa Mariana</v>
          </cell>
          <cell r="B332" t="str">
            <v>var_ld</v>
          </cell>
          <cell r="C332">
            <v>4750</v>
          </cell>
          <cell r="D332">
            <v>4527</v>
          </cell>
          <cell r="E332" t="str">
            <v>dist</v>
          </cell>
          <cell r="F332">
            <v>4764</v>
          </cell>
          <cell r="G332">
            <v>4515</v>
          </cell>
          <cell r="H332" t="str">
            <v>labo</v>
          </cell>
          <cell r="I332">
            <v>3763.08</v>
          </cell>
          <cell r="J332">
            <v>3573</v>
          </cell>
          <cell r="K332" t="str">
            <v>ind_pr</v>
          </cell>
          <cell r="L332">
            <v>4211.45</v>
          </cell>
          <cell r="M332">
            <v>0</v>
          </cell>
          <cell r="N332">
            <v>0</v>
          </cell>
          <cell r="O332" t="e">
            <v>#N/A</v>
          </cell>
          <cell r="P332" t="e">
            <v>#N/A</v>
          </cell>
        </row>
        <row r="333">
          <cell r="A333" t="str">
            <v>Santa Monica</v>
          </cell>
          <cell r="B333" t="str">
            <v>var_par</v>
          </cell>
          <cell r="C333">
            <v>4846</v>
          </cell>
          <cell r="D333">
            <v>4846</v>
          </cell>
          <cell r="E333" t="str">
            <v>dist</v>
          </cell>
          <cell r="F333">
            <v>4764</v>
          </cell>
          <cell r="G333">
            <v>4515</v>
          </cell>
          <cell r="H333" t="str">
            <v>labo</v>
          </cell>
          <cell r="I333">
            <v>3763.08</v>
          </cell>
          <cell r="J333">
            <v>3573</v>
          </cell>
          <cell r="K333" t="str">
            <v>ind_pr</v>
          </cell>
          <cell r="L333">
            <v>4211.45</v>
          </cell>
          <cell r="M333">
            <v>0</v>
          </cell>
          <cell r="N333">
            <v>0</v>
          </cell>
          <cell r="O333" t="e">
            <v>#N/A</v>
          </cell>
          <cell r="P333" t="e">
            <v>#N/A</v>
          </cell>
        </row>
        <row r="334">
          <cell r="A334" t="str">
            <v>Santa Tereza do Oeste</v>
          </cell>
          <cell r="B334" t="str">
            <v>var_op</v>
          </cell>
          <cell r="C334">
            <v>4410</v>
          </cell>
          <cell r="D334">
            <v>4219</v>
          </cell>
          <cell r="E334" t="str">
            <v>dist</v>
          </cell>
          <cell r="F334">
            <v>4764</v>
          </cell>
          <cell r="G334">
            <v>4515</v>
          </cell>
          <cell r="H334" t="str">
            <v>labo</v>
          </cell>
          <cell r="I334">
            <v>3763.08</v>
          </cell>
          <cell r="J334">
            <v>3573</v>
          </cell>
          <cell r="K334" t="str">
            <v>ind_pr</v>
          </cell>
          <cell r="L334">
            <v>4211.45</v>
          </cell>
          <cell r="M334">
            <v>0</v>
          </cell>
          <cell r="N334">
            <v>0</v>
          </cell>
          <cell r="O334" t="e">
            <v>#N/A</v>
          </cell>
          <cell r="P334" t="e">
            <v>#N/A</v>
          </cell>
        </row>
        <row r="335">
          <cell r="A335" t="str">
            <v>Santa Terezinha de Itaipu</v>
          </cell>
          <cell r="B335" t="str">
            <v>var_op</v>
          </cell>
          <cell r="C335">
            <v>4410</v>
          </cell>
          <cell r="D335">
            <v>4219</v>
          </cell>
          <cell r="E335" t="str">
            <v>dist</v>
          </cell>
          <cell r="F335">
            <v>4764</v>
          </cell>
          <cell r="G335">
            <v>4515</v>
          </cell>
          <cell r="H335" t="str">
            <v>labo</v>
          </cell>
          <cell r="I335">
            <v>3763.08</v>
          </cell>
          <cell r="J335">
            <v>3573</v>
          </cell>
          <cell r="K335" t="str">
            <v>ind_pr</v>
          </cell>
          <cell r="L335">
            <v>4211.45</v>
          </cell>
          <cell r="M335">
            <v>0</v>
          </cell>
          <cell r="N335" t="str">
            <v>hosp_pr</v>
          </cell>
          <cell r="O335">
            <v>4567</v>
          </cell>
          <cell r="P335">
            <v>0</v>
          </cell>
        </row>
        <row r="336">
          <cell r="A336" t="str">
            <v>Santana do Itarare</v>
          </cell>
          <cell r="B336" t="str">
            <v>var_sto</v>
          </cell>
          <cell r="C336">
            <v>5030</v>
          </cell>
          <cell r="D336">
            <v>5030</v>
          </cell>
          <cell r="E336" t="str">
            <v>dist</v>
          </cell>
          <cell r="F336">
            <v>4764</v>
          </cell>
          <cell r="G336">
            <v>4515</v>
          </cell>
          <cell r="H336" t="str">
            <v>labo</v>
          </cell>
          <cell r="I336">
            <v>3763.08</v>
          </cell>
          <cell r="J336">
            <v>3573</v>
          </cell>
          <cell r="K336" t="str">
            <v>ind_pr</v>
          </cell>
          <cell r="L336">
            <v>4211.45</v>
          </cell>
          <cell r="M336">
            <v>0</v>
          </cell>
          <cell r="N336" t="str">
            <v>hosp_nor</v>
          </cell>
          <cell r="O336">
            <v>1760</v>
          </cell>
          <cell r="P336">
            <v>0</v>
          </cell>
        </row>
        <row r="337">
          <cell r="A337" t="str">
            <v>Santo Antonio da Platina</v>
          </cell>
          <cell r="B337" t="str">
            <v>var_sto</v>
          </cell>
          <cell r="C337">
            <v>5030</v>
          </cell>
          <cell r="D337">
            <v>5030</v>
          </cell>
          <cell r="E337" t="str">
            <v>dist</v>
          </cell>
          <cell r="F337">
            <v>4764</v>
          </cell>
          <cell r="G337">
            <v>4515</v>
          </cell>
          <cell r="H337" t="str">
            <v>labo</v>
          </cell>
          <cell r="I337">
            <v>3763.08</v>
          </cell>
          <cell r="J337">
            <v>3573</v>
          </cell>
          <cell r="K337" t="str">
            <v>ind_pr</v>
          </cell>
          <cell r="L337">
            <v>4211.45</v>
          </cell>
          <cell r="M337">
            <v>0</v>
          </cell>
          <cell r="N337" t="str">
            <v>hosp_nor</v>
          </cell>
          <cell r="O337">
            <v>1760</v>
          </cell>
          <cell r="P337">
            <v>0</v>
          </cell>
        </row>
        <row r="338">
          <cell r="A338" t="str">
            <v>Santo Antonio do Caiua</v>
          </cell>
          <cell r="B338" t="str">
            <v>var_par</v>
          </cell>
          <cell r="C338">
            <v>4846</v>
          </cell>
          <cell r="D338">
            <v>4846</v>
          </cell>
          <cell r="E338" t="str">
            <v>dist</v>
          </cell>
          <cell r="F338">
            <v>4764</v>
          </cell>
          <cell r="G338">
            <v>4515</v>
          </cell>
          <cell r="H338" t="str">
            <v>labo</v>
          </cell>
          <cell r="I338">
            <v>3763.08</v>
          </cell>
          <cell r="J338">
            <v>3573</v>
          </cell>
          <cell r="K338" t="str">
            <v>ind_pr</v>
          </cell>
          <cell r="L338">
            <v>4211.45</v>
          </cell>
          <cell r="M338">
            <v>0</v>
          </cell>
          <cell r="N338">
            <v>0</v>
          </cell>
          <cell r="O338" t="e">
            <v>#N/A</v>
          </cell>
          <cell r="P338" t="e">
            <v>#N/A</v>
          </cell>
        </row>
        <row r="339">
          <cell r="A339" t="str">
            <v>Santo Antonio do Paraiso</v>
          </cell>
          <cell r="B339" t="str">
            <v>var_pr</v>
          </cell>
          <cell r="C339">
            <v>4729.62</v>
          </cell>
          <cell r="D339">
            <v>4729.62</v>
          </cell>
          <cell r="E339" t="str">
            <v>dist</v>
          </cell>
          <cell r="F339">
            <v>4764</v>
          </cell>
          <cell r="G339">
            <v>4515</v>
          </cell>
          <cell r="H339" t="str">
            <v>labo</v>
          </cell>
          <cell r="I339">
            <v>3763.08</v>
          </cell>
          <cell r="J339">
            <v>3573</v>
          </cell>
          <cell r="K339" t="str">
            <v>ind_pr</v>
          </cell>
          <cell r="L339">
            <v>4211.45</v>
          </cell>
          <cell r="M339">
            <v>0</v>
          </cell>
          <cell r="N339">
            <v>0</v>
          </cell>
          <cell r="O339" t="e">
            <v>#N/A</v>
          </cell>
          <cell r="P339" t="e">
            <v>#N/A</v>
          </cell>
        </row>
        <row r="340">
          <cell r="A340" t="str">
            <v>Santo Antonio do Sudoeste</v>
          </cell>
          <cell r="B340" t="str">
            <v>var_pr</v>
          </cell>
          <cell r="C340">
            <v>4729.62</v>
          </cell>
          <cell r="D340">
            <v>4729.62</v>
          </cell>
          <cell r="E340" t="str">
            <v>dist</v>
          </cell>
          <cell r="F340">
            <v>4764</v>
          </cell>
          <cell r="G340">
            <v>4515</v>
          </cell>
          <cell r="H340" t="str">
            <v>labo</v>
          </cell>
          <cell r="I340">
            <v>3763.08</v>
          </cell>
          <cell r="J340">
            <v>3573</v>
          </cell>
          <cell r="K340" t="str">
            <v>ind_pr</v>
          </cell>
          <cell r="L340">
            <v>4211.45</v>
          </cell>
          <cell r="M340">
            <v>0</v>
          </cell>
          <cell r="N340" t="str">
            <v>hosp_sudpr</v>
          </cell>
          <cell r="O340">
            <v>1760</v>
          </cell>
          <cell r="P340">
            <v>0</v>
          </cell>
        </row>
        <row r="341">
          <cell r="A341" t="str">
            <v>Santo Inacio</v>
          </cell>
          <cell r="B341" t="str">
            <v>var_pr</v>
          </cell>
          <cell r="C341">
            <v>4729.62</v>
          </cell>
          <cell r="D341">
            <v>4729.62</v>
          </cell>
          <cell r="E341" t="str">
            <v>dist</v>
          </cell>
          <cell r="F341">
            <v>4764</v>
          </cell>
          <cell r="G341">
            <v>4515</v>
          </cell>
          <cell r="H341" t="str">
            <v>labo</v>
          </cell>
          <cell r="I341">
            <v>3763.08</v>
          </cell>
          <cell r="J341">
            <v>3573</v>
          </cell>
          <cell r="K341" t="str">
            <v>ind_pr</v>
          </cell>
          <cell r="L341">
            <v>4211.45</v>
          </cell>
          <cell r="M341">
            <v>0</v>
          </cell>
          <cell r="N341" t="str">
            <v>hosp_mg</v>
          </cell>
          <cell r="O341">
            <v>3888.38</v>
          </cell>
          <cell r="P341">
            <v>0</v>
          </cell>
        </row>
        <row r="342">
          <cell r="A342" t="str">
            <v>Sao Carlos do Ivai</v>
          </cell>
          <cell r="B342" t="str">
            <v>var_par</v>
          </cell>
          <cell r="C342">
            <v>4846</v>
          </cell>
          <cell r="D342">
            <v>4846</v>
          </cell>
          <cell r="E342" t="str">
            <v>dist</v>
          </cell>
          <cell r="F342">
            <v>4764</v>
          </cell>
          <cell r="G342">
            <v>4515</v>
          </cell>
          <cell r="H342" t="str">
            <v>labo</v>
          </cell>
          <cell r="I342">
            <v>3763.08</v>
          </cell>
          <cell r="J342">
            <v>3573</v>
          </cell>
          <cell r="K342" t="str">
            <v>ind_pr</v>
          </cell>
          <cell r="L342">
            <v>4211.45</v>
          </cell>
          <cell r="M342">
            <v>0</v>
          </cell>
          <cell r="N342">
            <v>0</v>
          </cell>
          <cell r="O342" t="e">
            <v>#N/A</v>
          </cell>
          <cell r="P342" t="e">
            <v>#N/A</v>
          </cell>
        </row>
        <row r="343">
          <cell r="A343" t="str">
            <v>Sao Jeronimo da Serra</v>
          </cell>
          <cell r="B343" t="str">
            <v>var_pr</v>
          </cell>
          <cell r="C343">
            <v>4729.62</v>
          </cell>
          <cell r="D343">
            <v>4729.62</v>
          </cell>
          <cell r="E343" t="str">
            <v>dist</v>
          </cell>
          <cell r="F343">
            <v>4764</v>
          </cell>
          <cell r="G343">
            <v>4515</v>
          </cell>
          <cell r="H343" t="str">
            <v>labo</v>
          </cell>
          <cell r="I343">
            <v>3763.08</v>
          </cell>
          <cell r="J343">
            <v>3573</v>
          </cell>
          <cell r="K343" t="str">
            <v>ind_pr</v>
          </cell>
          <cell r="L343">
            <v>4211.45</v>
          </cell>
          <cell r="M343">
            <v>0</v>
          </cell>
          <cell r="N343">
            <v>0</v>
          </cell>
          <cell r="O343" t="e">
            <v>#N/A</v>
          </cell>
          <cell r="P343" t="e">
            <v>#N/A</v>
          </cell>
        </row>
        <row r="344">
          <cell r="A344" t="str">
            <v>Sao Joao</v>
          </cell>
          <cell r="B344" t="str">
            <v>var_pr</v>
          </cell>
          <cell r="C344">
            <v>4729.62</v>
          </cell>
          <cell r="D344">
            <v>4729.62</v>
          </cell>
          <cell r="E344" t="str">
            <v>dist</v>
          </cell>
          <cell r="F344">
            <v>4764</v>
          </cell>
          <cell r="G344">
            <v>4515</v>
          </cell>
          <cell r="H344" t="str">
            <v>labo</v>
          </cell>
          <cell r="I344">
            <v>3763.08</v>
          </cell>
          <cell r="J344">
            <v>3573</v>
          </cell>
          <cell r="K344" t="str">
            <v>ind_pr</v>
          </cell>
          <cell r="L344">
            <v>4211.45</v>
          </cell>
          <cell r="M344">
            <v>0</v>
          </cell>
          <cell r="N344" t="str">
            <v>hosp_pb</v>
          </cell>
          <cell r="O344">
            <v>1760</v>
          </cell>
          <cell r="P344">
            <v>0</v>
          </cell>
        </row>
        <row r="345">
          <cell r="A345" t="str">
            <v>Sao Joao do Caiua</v>
          </cell>
          <cell r="B345" t="str">
            <v>var_par</v>
          </cell>
          <cell r="C345">
            <v>4846</v>
          </cell>
          <cell r="D345">
            <v>4846</v>
          </cell>
          <cell r="E345" t="str">
            <v>dist</v>
          </cell>
          <cell r="F345">
            <v>4764</v>
          </cell>
          <cell r="G345">
            <v>4515</v>
          </cell>
          <cell r="H345" t="str">
            <v>labo</v>
          </cell>
          <cell r="I345">
            <v>3763.08</v>
          </cell>
          <cell r="J345">
            <v>3573</v>
          </cell>
          <cell r="K345" t="str">
            <v>ind_pr</v>
          </cell>
          <cell r="L345">
            <v>4211.45</v>
          </cell>
          <cell r="M345">
            <v>0</v>
          </cell>
          <cell r="N345">
            <v>0</v>
          </cell>
          <cell r="O345" t="e">
            <v>#N/A</v>
          </cell>
          <cell r="P345" t="e">
            <v>#N/A</v>
          </cell>
        </row>
        <row r="346">
          <cell r="A346" t="str">
            <v>Sao Joao do Ivai</v>
          </cell>
          <cell r="B346" t="str">
            <v>var_ld</v>
          </cell>
          <cell r="C346">
            <v>4750</v>
          </cell>
          <cell r="D346">
            <v>4527</v>
          </cell>
          <cell r="E346" t="str">
            <v>dist</v>
          </cell>
          <cell r="F346">
            <v>4764</v>
          </cell>
          <cell r="G346">
            <v>4515</v>
          </cell>
          <cell r="H346" t="str">
            <v>labo</v>
          </cell>
          <cell r="I346">
            <v>3763.08</v>
          </cell>
          <cell r="J346">
            <v>3573</v>
          </cell>
          <cell r="K346" t="str">
            <v>ind_pr</v>
          </cell>
          <cell r="L346">
            <v>4211.45</v>
          </cell>
          <cell r="M346">
            <v>0</v>
          </cell>
          <cell r="N346">
            <v>0</v>
          </cell>
          <cell r="O346" t="e">
            <v>#N/A</v>
          </cell>
          <cell r="P346" t="e">
            <v>#N/A</v>
          </cell>
        </row>
        <row r="347">
          <cell r="A347" t="str">
            <v>sao Joao do Triunfo</v>
          </cell>
          <cell r="B347" t="str">
            <v>var_pr</v>
          </cell>
          <cell r="C347">
            <v>4729.62</v>
          </cell>
          <cell r="D347">
            <v>4729.62</v>
          </cell>
          <cell r="E347" t="str">
            <v>dist</v>
          </cell>
          <cell r="F347">
            <v>4764</v>
          </cell>
          <cell r="G347">
            <v>4515</v>
          </cell>
          <cell r="H347" t="str">
            <v>labo</v>
          </cell>
          <cell r="I347">
            <v>3763.08</v>
          </cell>
          <cell r="J347">
            <v>3573</v>
          </cell>
          <cell r="K347" t="str">
            <v>ind_pr</v>
          </cell>
          <cell r="L347">
            <v>4211.45</v>
          </cell>
          <cell r="M347">
            <v>0</v>
          </cell>
          <cell r="N347">
            <v>0</v>
          </cell>
          <cell r="O347" t="e">
            <v>#N/A</v>
          </cell>
          <cell r="P347" t="e">
            <v>#N/A</v>
          </cell>
        </row>
        <row r="348">
          <cell r="A348" t="str">
            <v>sao Jorge do Ivai</v>
          </cell>
          <cell r="B348" t="str">
            <v>var_pr</v>
          </cell>
          <cell r="C348">
            <v>4729.62</v>
          </cell>
          <cell r="D348">
            <v>4729.62</v>
          </cell>
          <cell r="E348" t="str">
            <v>dist</v>
          </cell>
          <cell r="F348">
            <v>4764</v>
          </cell>
          <cell r="G348">
            <v>4515</v>
          </cell>
          <cell r="H348" t="str">
            <v>labo</v>
          </cell>
          <cell r="I348">
            <v>3763.08</v>
          </cell>
          <cell r="J348">
            <v>3573</v>
          </cell>
          <cell r="K348" t="str">
            <v>ind_pr</v>
          </cell>
          <cell r="L348">
            <v>4211.45</v>
          </cell>
          <cell r="M348">
            <v>0</v>
          </cell>
          <cell r="N348" t="str">
            <v>hosp_mg</v>
          </cell>
          <cell r="O348">
            <v>3888.38</v>
          </cell>
          <cell r="P348">
            <v>0</v>
          </cell>
        </row>
        <row r="349">
          <cell r="A349" t="str">
            <v>Sao Jorge do Oeste</v>
          </cell>
          <cell r="B349" t="str">
            <v>var_pr</v>
          </cell>
          <cell r="C349">
            <v>4729.62</v>
          </cell>
          <cell r="D349">
            <v>4729.62</v>
          </cell>
          <cell r="E349" t="str">
            <v>dist</v>
          </cell>
          <cell r="F349">
            <v>4764</v>
          </cell>
          <cell r="G349">
            <v>4515</v>
          </cell>
          <cell r="H349" t="str">
            <v>labo</v>
          </cell>
          <cell r="I349">
            <v>3763.08</v>
          </cell>
          <cell r="J349">
            <v>3573</v>
          </cell>
          <cell r="K349" t="str">
            <v>ind_pr</v>
          </cell>
          <cell r="L349">
            <v>4211.45</v>
          </cell>
          <cell r="M349">
            <v>0</v>
          </cell>
          <cell r="N349" t="str">
            <v>hosp_sudpr</v>
          </cell>
          <cell r="O349">
            <v>1760</v>
          </cell>
          <cell r="P349">
            <v>0</v>
          </cell>
        </row>
        <row r="350">
          <cell r="A350" t="str">
            <v>Sao Jorge do Patrocinio</v>
          </cell>
          <cell r="B350" t="str">
            <v>var_pr</v>
          </cell>
          <cell r="C350">
            <v>4729.62</v>
          </cell>
          <cell r="D350">
            <v>4729.62</v>
          </cell>
          <cell r="E350" t="str">
            <v>dist</v>
          </cell>
          <cell r="F350">
            <v>4764</v>
          </cell>
          <cell r="G350">
            <v>4515</v>
          </cell>
          <cell r="H350" t="str">
            <v>labo</v>
          </cell>
          <cell r="I350">
            <v>3763.08</v>
          </cell>
          <cell r="J350">
            <v>3573</v>
          </cell>
          <cell r="K350" t="str">
            <v>ind_pr</v>
          </cell>
          <cell r="L350">
            <v>4211.45</v>
          </cell>
          <cell r="M350">
            <v>0</v>
          </cell>
          <cell r="N350" t="str">
            <v>hosp_umu</v>
          </cell>
          <cell r="O350">
            <v>2428.5500000000002</v>
          </cell>
          <cell r="P350">
            <v>0</v>
          </cell>
        </row>
        <row r="351">
          <cell r="A351" t="str">
            <v>Sao Jose da Boa Vista</v>
          </cell>
          <cell r="B351" t="str">
            <v>var_sto</v>
          </cell>
          <cell r="C351">
            <v>5030</v>
          </cell>
          <cell r="D351">
            <v>5030</v>
          </cell>
          <cell r="E351" t="str">
            <v>dist</v>
          </cell>
          <cell r="F351">
            <v>4764</v>
          </cell>
          <cell r="G351">
            <v>4515</v>
          </cell>
          <cell r="H351" t="str">
            <v>labo</v>
          </cell>
          <cell r="I351">
            <v>3763.08</v>
          </cell>
          <cell r="J351">
            <v>3573</v>
          </cell>
          <cell r="K351" t="str">
            <v>ind_pr</v>
          </cell>
          <cell r="L351">
            <v>4211.45</v>
          </cell>
          <cell r="M351">
            <v>0</v>
          </cell>
          <cell r="N351" t="str">
            <v>hosp_nor</v>
          </cell>
          <cell r="O351">
            <v>1760</v>
          </cell>
          <cell r="P351">
            <v>0</v>
          </cell>
        </row>
        <row r="352">
          <cell r="A352" t="str">
            <v>Sao Jose das Palmeiras</v>
          </cell>
          <cell r="B352" t="str">
            <v>var_op</v>
          </cell>
          <cell r="C352">
            <v>4410</v>
          </cell>
          <cell r="D352">
            <v>4219</v>
          </cell>
          <cell r="E352" t="str">
            <v>dist</v>
          </cell>
          <cell r="F352">
            <v>4764</v>
          </cell>
          <cell r="G352">
            <v>4515</v>
          </cell>
          <cell r="H352" t="str">
            <v>labo</v>
          </cell>
          <cell r="I352">
            <v>3763.08</v>
          </cell>
          <cell r="J352">
            <v>3573</v>
          </cell>
          <cell r="K352" t="str">
            <v>ind_pr</v>
          </cell>
          <cell r="L352">
            <v>4211.45</v>
          </cell>
          <cell r="M352">
            <v>0</v>
          </cell>
          <cell r="N352" t="str">
            <v>hosp_pr</v>
          </cell>
          <cell r="O352">
            <v>4567</v>
          </cell>
          <cell r="P352">
            <v>0</v>
          </cell>
        </row>
        <row r="353">
          <cell r="A353" t="str">
            <v>Sao Jose dos Pinhais</v>
          </cell>
          <cell r="B353" t="str">
            <v>var_pr</v>
          </cell>
          <cell r="C353">
            <v>4729.62</v>
          </cell>
          <cell r="D353">
            <v>4729.62</v>
          </cell>
          <cell r="E353" t="str">
            <v>dist</v>
          </cell>
          <cell r="F353">
            <v>4764</v>
          </cell>
          <cell r="G353">
            <v>4515</v>
          </cell>
          <cell r="H353" t="str">
            <v>labo</v>
          </cell>
          <cell r="I353">
            <v>3763.08</v>
          </cell>
          <cell r="J353">
            <v>3573</v>
          </cell>
          <cell r="K353" t="str">
            <v>ind_pr</v>
          </cell>
          <cell r="L353">
            <v>4211.45</v>
          </cell>
          <cell r="M353">
            <v>0</v>
          </cell>
          <cell r="N353" t="str">
            <v>hosp_pr</v>
          </cell>
          <cell r="O353">
            <v>4567</v>
          </cell>
          <cell r="P353">
            <v>0</v>
          </cell>
        </row>
        <row r="354">
          <cell r="A354" t="str">
            <v>Sao Manoel do Parana</v>
          </cell>
          <cell r="B354" t="str">
            <v>var_pr</v>
          </cell>
          <cell r="C354">
            <v>4729.62</v>
          </cell>
          <cell r="D354">
            <v>4729.62</v>
          </cell>
          <cell r="E354" t="str">
            <v>dist</v>
          </cell>
          <cell r="F354">
            <v>4764</v>
          </cell>
          <cell r="G354">
            <v>4515</v>
          </cell>
          <cell r="H354" t="str">
            <v>labo</v>
          </cell>
          <cell r="I354">
            <v>3763.08</v>
          </cell>
          <cell r="J354">
            <v>3573</v>
          </cell>
          <cell r="K354" t="str">
            <v>ind_pr</v>
          </cell>
          <cell r="L354">
            <v>4211.45</v>
          </cell>
          <cell r="M354">
            <v>0</v>
          </cell>
          <cell r="N354" t="str">
            <v>hosp_cia</v>
          </cell>
          <cell r="O354">
            <v>4003.87</v>
          </cell>
          <cell r="P354">
            <v>0</v>
          </cell>
        </row>
        <row r="355">
          <cell r="A355" t="str">
            <v>Sao Mateus do Sul</v>
          </cell>
          <cell r="B355" t="str">
            <v>var_pr</v>
          </cell>
          <cell r="C355">
            <v>4729.62</v>
          </cell>
          <cell r="D355">
            <v>4729.62</v>
          </cell>
          <cell r="E355" t="str">
            <v>dist</v>
          </cell>
          <cell r="F355">
            <v>4764</v>
          </cell>
          <cell r="G355">
            <v>4515</v>
          </cell>
          <cell r="H355" t="str">
            <v>labo</v>
          </cell>
          <cell r="I355">
            <v>3763.08</v>
          </cell>
          <cell r="J355">
            <v>3573</v>
          </cell>
          <cell r="K355" t="str">
            <v>ind_pr</v>
          </cell>
          <cell r="L355">
            <v>4211.45</v>
          </cell>
          <cell r="M355">
            <v>0</v>
          </cell>
          <cell r="N355">
            <v>0</v>
          </cell>
          <cell r="O355" t="e">
            <v>#N/A</v>
          </cell>
          <cell r="P355" t="e">
            <v>#N/A</v>
          </cell>
        </row>
        <row r="356">
          <cell r="A356" t="str">
            <v>Sao Miguel do Iguaçu</v>
          </cell>
          <cell r="B356" t="str">
            <v>var_op</v>
          </cell>
          <cell r="C356">
            <v>4410</v>
          </cell>
          <cell r="D356">
            <v>4219</v>
          </cell>
          <cell r="E356" t="str">
            <v>dist</v>
          </cell>
          <cell r="F356">
            <v>4764</v>
          </cell>
          <cell r="G356">
            <v>4515</v>
          </cell>
          <cell r="H356" t="str">
            <v>labo</v>
          </cell>
          <cell r="I356">
            <v>3763.08</v>
          </cell>
          <cell r="J356">
            <v>3573</v>
          </cell>
          <cell r="K356" t="str">
            <v>ind_pr</v>
          </cell>
          <cell r="L356">
            <v>4211.45</v>
          </cell>
          <cell r="M356">
            <v>0</v>
          </cell>
          <cell r="N356" t="str">
            <v>hosp_pr</v>
          </cell>
          <cell r="O356">
            <v>4567</v>
          </cell>
          <cell r="P356">
            <v>0</v>
          </cell>
        </row>
        <row r="357">
          <cell r="A357" t="str">
            <v>Sao Pedro do Iguaçu</v>
          </cell>
          <cell r="B357" t="str">
            <v>var_op</v>
          </cell>
          <cell r="C357">
            <v>4410</v>
          </cell>
          <cell r="D357">
            <v>4219</v>
          </cell>
          <cell r="E357" t="str">
            <v>dist</v>
          </cell>
          <cell r="F357">
            <v>4764</v>
          </cell>
          <cell r="G357">
            <v>4515</v>
          </cell>
          <cell r="H357" t="str">
            <v>labo</v>
          </cell>
          <cell r="I357">
            <v>3763.08</v>
          </cell>
          <cell r="J357">
            <v>3573</v>
          </cell>
          <cell r="K357" t="str">
            <v>ind_pr</v>
          </cell>
          <cell r="L357">
            <v>4211.45</v>
          </cell>
          <cell r="M357">
            <v>0</v>
          </cell>
          <cell r="N357">
            <v>0</v>
          </cell>
          <cell r="O357" t="e">
            <v>#N/A</v>
          </cell>
          <cell r="P357" t="e">
            <v>#N/A</v>
          </cell>
        </row>
        <row r="358">
          <cell r="A358" t="str">
            <v>Sao Pedro do Ivai</v>
          </cell>
          <cell r="B358" t="str">
            <v>var_ld</v>
          </cell>
          <cell r="C358">
            <v>4750</v>
          </cell>
          <cell r="D358">
            <v>4527</v>
          </cell>
          <cell r="E358" t="str">
            <v>dist</v>
          </cell>
          <cell r="F358">
            <v>4764</v>
          </cell>
          <cell r="G358">
            <v>4515</v>
          </cell>
          <cell r="H358" t="str">
            <v>labo</v>
          </cell>
          <cell r="I358">
            <v>3763.08</v>
          </cell>
          <cell r="J358">
            <v>3573</v>
          </cell>
          <cell r="K358" t="str">
            <v>ind_pr</v>
          </cell>
          <cell r="L358">
            <v>4211.45</v>
          </cell>
          <cell r="M358">
            <v>0</v>
          </cell>
          <cell r="N358">
            <v>0</v>
          </cell>
          <cell r="O358" t="e">
            <v>#N/A</v>
          </cell>
          <cell r="P358" t="e">
            <v>#N/A</v>
          </cell>
        </row>
        <row r="359">
          <cell r="A359" t="str">
            <v>Sao pedro do Parana</v>
          </cell>
          <cell r="B359" t="str">
            <v>var_par</v>
          </cell>
          <cell r="C359">
            <v>4846</v>
          </cell>
          <cell r="D359">
            <v>4846</v>
          </cell>
          <cell r="E359" t="str">
            <v>dist</v>
          </cell>
          <cell r="F359">
            <v>4764</v>
          </cell>
          <cell r="G359">
            <v>4515</v>
          </cell>
          <cell r="H359" t="str">
            <v>labo</v>
          </cell>
          <cell r="I359">
            <v>3763.08</v>
          </cell>
          <cell r="J359">
            <v>3573</v>
          </cell>
          <cell r="K359" t="str">
            <v>ind_pr</v>
          </cell>
          <cell r="L359">
            <v>4211.45</v>
          </cell>
          <cell r="M359">
            <v>0</v>
          </cell>
          <cell r="N359">
            <v>0</v>
          </cell>
          <cell r="O359" t="e">
            <v>#N/A</v>
          </cell>
          <cell r="P359" t="e">
            <v>#N/A</v>
          </cell>
        </row>
        <row r="360">
          <cell r="A360" t="str">
            <v>Sao Sebastiao da Amoreira</v>
          </cell>
          <cell r="B360" t="str">
            <v>var_pr</v>
          </cell>
          <cell r="C360">
            <v>4729.62</v>
          </cell>
          <cell r="D360">
            <v>4729.62</v>
          </cell>
          <cell r="E360" t="str">
            <v>dist</v>
          </cell>
          <cell r="F360">
            <v>4764</v>
          </cell>
          <cell r="G360">
            <v>4515</v>
          </cell>
          <cell r="H360" t="str">
            <v>labo</v>
          </cell>
          <cell r="I360">
            <v>3763.08</v>
          </cell>
          <cell r="J360">
            <v>3573</v>
          </cell>
          <cell r="K360" t="str">
            <v>ind_pr</v>
          </cell>
          <cell r="L360">
            <v>4211.45</v>
          </cell>
          <cell r="M360">
            <v>0</v>
          </cell>
          <cell r="N360">
            <v>0</v>
          </cell>
          <cell r="O360" t="e">
            <v>#N/A</v>
          </cell>
          <cell r="P360" t="e">
            <v>#N/A</v>
          </cell>
        </row>
        <row r="361">
          <cell r="A361" t="str">
            <v>Sao Tome</v>
          </cell>
          <cell r="B361" t="str">
            <v>var_pr</v>
          </cell>
          <cell r="C361">
            <v>4729.62</v>
          </cell>
          <cell r="D361">
            <v>4729.62</v>
          </cell>
          <cell r="E361" t="str">
            <v>dist</v>
          </cell>
          <cell r="F361">
            <v>4764</v>
          </cell>
          <cell r="G361">
            <v>4515</v>
          </cell>
          <cell r="H361" t="str">
            <v>labo</v>
          </cell>
          <cell r="I361">
            <v>3763.08</v>
          </cell>
          <cell r="J361">
            <v>3573</v>
          </cell>
          <cell r="K361" t="str">
            <v>ind_pr</v>
          </cell>
          <cell r="L361">
            <v>4211.45</v>
          </cell>
          <cell r="M361">
            <v>0</v>
          </cell>
          <cell r="N361" t="str">
            <v>hosp_cia</v>
          </cell>
          <cell r="O361">
            <v>4003.87</v>
          </cell>
          <cell r="P361">
            <v>0</v>
          </cell>
        </row>
        <row r="362">
          <cell r="A362" t="str">
            <v>Sapopema</v>
          </cell>
          <cell r="B362" t="str">
            <v>var_pr</v>
          </cell>
          <cell r="C362">
            <v>4729.62</v>
          </cell>
          <cell r="D362">
            <v>4729.62</v>
          </cell>
          <cell r="E362" t="str">
            <v>dist</v>
          </cell>
          <cell r="F362">
            <v>4764</v>
          </cell>
          <cell r="G362">
            <v>4515</v>
          </cell>
          <cell r="H362" t="str">
            <v>labo</v>
          </cell>
          <cell r="I362">
            <v>3763.08</v>
          </cell>
          <cell r="J362">
            <v>3573</v>
          </cell>
          <cell r="K362" t="str">
            <v>ind_pr</v>
          </cell>
          <cell r="L362">
            <v>4211.45</v>
          </cell>
          <cell r="M362">
            <v>0</v>
          </cell>
          <cell r="N362">
            <v>0</v>
          </cell>
          <cell r="O362" t="e">
            <v>#N/A</v>
          </cell>
          <cell r="P362" t="e">
            <v>#N/A</v>
          </cell>
        </row>
        <row r="363">
          <cell r="A363" t="str">
            <v>Sarandi</v>
          </cell>
          <cell r="B363" t="str">
            <v>var_pr</v>
          </cell>
          <cell r="C363">
            <v>4729.62</v>
          </cell>
          <cell r="D363">
            <v>4729.62</v>
          </cell>
          <cell r="E363" t="str">
            <v>dist</v>
          </cell>
          <cell r="F363">
            <v>4764</v>
          </cell>
          <cell r="G363">
            <v>4515</v>
          </cell>
          <cell r="H363" t="str">
            <v>labo</v>
          </cell>
          <cell r="I363">
            <v>3763.08</v>
          </cell>
          <cell r="J363">
            <v>3573</v>
          </cell>
          <cell r="K363" t="str">
            <v>ind_pr</v>
          </cell>
          <cell r="L363">
            <v>4211.45</v>
          </cell>
          <cell r="M363">
            <v>0</v>
          </cell>
          <cell r="N363" t="str">
            <v>hosp_mg</v>
          </cell>
          <cell r="O363">
            <v>3888.38</v>
          </cell>
          <cell r="P363">
            <v>0</v>
          </cell>
        </row>
        <row r="364">
          <cell r="A364" t="str">
            <v>Saudade do Iguaçu</v>
          </cell>
          <cell r="B364" t="str">
            <v>var_pr</v>
          </cell>
          <cell r="C364">
            <v>4729.62</v>
          </cell>
          <cell r="D364">
            <v>4729.62</v>
          </cell>
          <cell r="E364" t="str">
            <v>dist</v>
          </cell>
          <cell r="F364">
            <v>4764</v>
          </cell>
          <cell r="G364">
            <v>4515</v>
          </cell>
          <cell r="H364" t="str">
            <v>labo</v>
          </cell>
          <cell r="I364">
            <v>3763.08</v>
          </cell>
          <cell r="J364">
            <v>3573</v>
          </cell>
          <cell r="K364" t="str">
            <v>ind_pr</v>
          </cell>
          <cell r="L364">
            <v>4211.45</v>
          </cell>
          <cell r="M364">
            <v>0</v>
          </cell>
          <cell r="N364" t="str">
            <v>hosp_pb</v>
          </cell>
          <cell r="O364">
            <v>1760</v>
          </cell>
          <cell r="P364">
            <v>0</v>
          </cell>
        </row>
        <row r="365">
          <cell r="A365" t="str">
            <v>Senges</v>
          </cell>
          <cell r="B365" t="str">
            <v>var_pr</v>
          </cell>
          <cell r="C365">
            <v>4729.62</v>
          </cell>
          <cell r="D365">
            <v>4729.62</v>
          </cell>
          <cell r="E365" t="str">
            <v>dist</v>
          </cell>
          <cell r="F365">
            <v>4764</v>
          </cell>
          <cell r="G365">
            <v>4515</v>
          </cell>
          <cell r="H365" t="str">
            <v>labo</v>
          </cell>
          <cell r="I365">
            <v>3763.08</v>
          </cell>
          <cell r="J365">
            <v>3573</v>
          </cell>
          <cell r="K365" t="str">
            <v>ind_pr</v>
          </cell>
          <cell r="L365">
            <v>4211.45</v>
          </cell>
          <cell r="M365">
            <v>0</v>
          </cell>
          <cell r="N365">
            <v>0</v>
          </cell>
          <cell r="O365" t="e">
            <v>#N/A</v>
          </cell>
          <cell r="P365" t="e">
            <v>#N/A</v>
          </cell>
        </row>
        <row r="366">
          <cell r="A366" t="str">
            <v>Serranopolis do Iguaçu</v>
          </cell>
          <cell r="B366" t="str">
            <v>var_op</v>
          </cell>
          <cell r="C366">
            <v>4410</v>
          </cell>
          <cell r="D366">
            <v>4219</v>
          </cell>
          <cell r="E366" t="str">
            <v>dist</v>
          </cell>
          <cell r="F366">
            <v>4764</v>
          </cell>
          <cell r="G366">
            <v>4515</v>
          </cell>
          <cell r="H366" t="str">
            <v>labo</v>
          </cell>
          <cell r="I366">
            <v>3763.08</v>
          </cell>
          <cell r="J366">
            <v>3573</v>
          </cell>
          <cell r="K366" t="str">
            <v>ind_pr</v>
          </cell>
          <cell r="L366">
            <v>4211.45</v>
          </cell>
          <cell r="M366">
            <v>0</v>
          </cell>
          <cell r="N366">
            <v>0</v>
          </cell>
          <cell r="O366" t="e">
            <v>#N/A</v>
          </cell>
          <cell r="P366" t="e">
            <v>#N/A</v>
          </cell>
        </row>
        <row r="367">
          <cell r="A367" t="str">
            <v>Sertaneja</v>
          </cell>
          <cell r="B367" t="str">
            <v>var_ld</v>
          </cell>
          <cell r="C367">
            <v>4750</v>
          </cell>
          <cell r="D367">
            <v>4527</v>
          </cell>
          <cell r="E367" t="str">
            <v>dist</v>
          </cell>
          <cell r="F367">
            <v>4764</v>
          </cell>
          <cell r="G367">
            <v>4515</v>
          </cell>
          <cell r="H367" t="str">
            <v>labo</v>
          </cell>
          <cell r="I367">
            <v>3763.08</v>
          </cell>
          <cell r="J367">
            <v>3573</v>
          </cell>
          <cell r="K367" t="str">
            <v>ind_pr</v>
          </cell>
          <cell r="L367">
            <v>4211.45</v>
          </cell>
          <cell r="M367">
            <v>0</v>
          </cell>
          <cell r="N367">
            <v>0</v>
          </cell>
          <cell r="O367" t="e">
            <v>#N/A</v>
          </cell>
          <cell r="P367" t="e">
            <v>#N/A</v>
          </cell>
        </row>
        <row r="368">
          <cell r="A368" t="str">
            <v>Sertanopolis</v>
          </cell>
          <cell r="B368" t="str">
            <v>var_ld</v>
          </cell>
          <cell r="C368">
            <v>4750</v>
          </cell>
          <cell r="D368">
            <v>4527</v>
          </cell>
          <cell r="E368" t="str">
            <v>dist</v>
          </cell>
          <cell r="F368">
            <v>4764</v>
          </cell>
          <cell r="G368">
            <v>4515</v>
          </cell>
          <cell r="H368" t="str">
            <v>labo</v>
          </cell>
          <cell r="I368">
            <v>3763.08</v>
          </cell>
          <cell r="J368">
            <v>3573</v>
          </cell>
          <cell r="K368" t="str">
            <v>ind_nor</v>
          </cell>
          <cell r="L368">
            <v>3446</v>
          </cell>
          <cell r="M368">
            <v>0</v>
          </cell>
          <cell r="N368">
            <v>0</v>
          </cell>
          <cell r="O368" t="e">
            <v>#N/A</v>
          </cell>
          <cell r="P368" t="e">
            <v>#N/A</v>
          </cell>
        </row>
        <row r="369">
          <cell r="A369" t="str">
            <v>Siqueira Campos</v>
          </cell>
          <cell r="B369" t="str">
            <v>var_sto</v>
          </cell>
          <cell r="C369">
            <v>5030</v>
          </cell>
          <cell r="D369">
            <v>5030</v>
          </cell>
          <cell r="E369" t="str">
            <v>dist</v>
          </cell>
          <cell r="F369">
            <v>4764</v>
          </cell>
          <cell r="G369">
            <v>4515</v>
          </cell>
          <cell r="H369" t="str">
            <v>labo</v>
          </cell>
          <cell r="I369">
            <v>3763.08</v>
          </cell>
          <cell r="J369">
            <v>3573</v>
          </cell>
          <cell r="K369" t="str">
            <v>ind_pr</v>
          </cell>
          <cell r="L369">
            <v>4211.45</v>
          </cell>
          <cell r="M369">
            <v>0</v>
          </cell>
          <cell r="N369" t="str">
            <v>hosp_nor</v>
          </cell>
          <cell r="O369">
            <v>1760</v>
          </cell>
          <cell r="P369">
            <v>0</v>
          </cell>
        </row>
        <row r="370">
          <cell r="A370" t="str">
            <v>Sulina</v>
          </cell>
          <cell r="B370" t="str">
            <v>var_pr</v>
          </cell>
          <cell r="C370">
            <v>4729.62</v>
          </cell>
          <cell r="D370">
            <v>4729.62</v>
          </cell>
          <cell r="E370" t="str">
            <v>dist</v>
          </cell>
          <cell r="F370">
            <v>4764</v>
          </cell>
          <cell r="G370">
            <v>4515</v>
          </cell>
          <cell r="H370" t="str">
            <v>labo</v>
          </cell>
          <cell r="I370">
            <v>3763.08</v>
          </cell>
          <cell r="J370">
            <v>3573</v>
          </cell>
          <cell r="K370" t="str">
            <v>ind_pr</v>
          </cell>
          <cell r="L370">
            <v>4211.45</v>
          </cell>
          <cell r="M370">
            <v>0</v>
          </cell>
          <cell r="N370" t="str">
            <v>hosp_pb</v>
          </cell>
          <cell r="O370">
            <v>1760</v>
          </cell>
          <cell r="P370">
            <v>0</v>
          </cell>
        </row>
        <row r="371">
          <cell r="A371" t="str">
            <v>Tamarana</v>
          </cell>
          <cell r="B371" t="str">
            <v>var_ld</v>
          </cell>
          <cell r="C371">
            <v>4750</v>
          </cell>
          <cell r="D371">
            <v>4527</v>
          </cell>
          <cell r="E371" t="str">
            <v>dist</v>
          </cell>
          <cell r="F371">
            <v>4764</v>
          </cell>
          <cell r="G371">
            <v>4515</v>
          </cell>
          <cell r="H371" t="str">
            <v>labo</v>
          </cell>
          <cell r="I371">
            <v>3763.08</v>
          </cell>
          <cell r="J371">
            <v>3573</v>
          </cell>
          <cell r="K371" t="str">
            <v>ind_pr</v>
          </cell>
          <cell r="L371">
            <v>4211.45</v>
          </cell>
          <cell r="M371">
            <v>0</v>
          </cell>
          <cell r="N371">
            <v>0</v>
          </cell>
          <cell r="O371" t="e">
            <v>#N/A</v>
          </cell>
          <cell r="P371" t="e">
            <v>#N/A</v>
          </cell>
        </row>
        <row r="372">
          <cell r="A372" t="str">
            <v>Tamboara</v>
          </cell>
          <cell r="B372" t="str">
            <v>var_par</v>
          </cell>
          <cell r="C372">
            <v>4846</v>
          </cell>
          <cell r="D372">
            <v>4846</v>
          </cell>
          <cell r="E372" t="str">
            <v>dist</v>
          </cell>
          <cell r="F372">
            <v>4764</v>
          </cell>
          <cell r="G372">
            <v>4515</v>
          </cell>
          <cell r="H372" t="str">
            <v>labo</v>
          </cell>
          <cell r="I372">
            <v>3763.08</v>
          </cell>
          <cell r="J372">
            <v>3573</v>
          </cell>
          <cell r="K372" t="str">
            <v>ind_pr</v>
          </cell>
          <cell r="L372">
            <v>4211.45</v>
          </cell>
          <cell r="M372">
            <v>0</v>
          </cell>
          <cell r="N372">
            <v>0</v>
          </cell>
          <cell r="O372" t="e">
            <v>#N/A</v>
          </cell>
          <cell r="P372" t="e">
            <v>#N/A</v>
          </cell>
        </row>
        <row r="373">
          <cell r="A373" t="str">
            <v>Tapejara</v>
          </cell>
          <cell r="B373" t="str">
            <v>var_pr</v>
          </cell>
          <cell r="C373">
            <v>4729.62</v>
          </cell>
          <cell r="D373">
            <v>4729.62</v>
          </cell>
          <cell r="E373" t="str">
            <v>dist</v>
          </cell>
          <cell r="F373">
            <v>4764</v>
          </cell>
          <cell r="G373">
            <v>4515</v>
          </cell>
          <cell r="H373" t="str">
            <v>labo</v>
          </cell>
          <cell r="I373">
            <v>3763.08</v>
          </cell>
          <cell r="J373">
            <v>3573</v>
          </cell>
          <cell r="K373" t="str">
            <v>ind_pr</v>
          </cell>
          <cell r="L373">
            <v>4211.45</v>
          </cell>
          <cell r="M373">
            <v>0</v>
          </cell>
          <cell r="N373" t="str">
            <v>hosp_cia</v>
          </cell>
          <cell r="O373">
            <v>4003.87</v>
          </cell>
          <cell r="P373">
            <v>0</v>
          </cell>
        </row>
        <row r="374">
          <cell r="A374" t="str">
            <v>Tapira</v>
          </cell>
          <cell r="B374" t="str">
            <v>var_pr</v>
          </cell>
          <cell r="C374">
            <v>4729.62</v>
          </cell>
          <cell r="D374">
            <v>4729.62</v>
          </cell>
          <cell r="E374" t="str">
            <v>dist</v>
          </cell>
          <cell r="F374">
            <v>4764</v>
          </cell>
          <cell r="G374">
            <v>4515</v>
          </cell>
          <cell r="H374" t="str">
            <v>labo</v>
          </cell>
          <cell r="I374">
            <v>3763.08</v>
          </cell>
          <cell r="J374">
            <v>3573</v>
          </cell>
          <cell r="K374" t="str">
            <v>ind_pr</v>
          </cell>
          <cell r="L374">
            <v>4211.45</v>
          </cell>
          <cell r="M374">
            <v>0</v>
          </cell>
          <cell r="N374" t="str">
            <v>hosp_umu</v>
          </cell>
          <cell r="O374">
            <v>2428.5500000000002</v>
          </cell>
          <cell r="P374">
            <v>0</v>
          </cell>
        </row>
        <row r="375">
          <cell r="A375" t="str">
            <v>Teixeira Soares</v>
          </cell>
          <cell r="B375" t="str">
            <v>var_pr</v>
          </cell>
          <cell r="C375">
            <v>4729.62</v>
          </cell>
          <cell r="D375">
            <v>4729.62</v>
          </cell>
          <cell r="E375" t="str">
            <v>dist</v>
          </cell>
          <cell r="F375">
            <v>4764</v>
          </cell>
          <cell r="G375">
            <v>4515</v>
          </cell>
          <cell r="H375" t="str">
            <v>labo</v>
          </cell>
          <cell r="I375">
            <v>3763.08</v>
          </cell>
          <cell r="J375">
            <v>3573</v>
          </cell>
          <cell r="K375" t="str">
            <v>ind_pr</v>
          </cell>
          <cell r="L375">
            <v>4211.45</v>
          </cell>
          <cell r="M375">
            <v>0</v>
          </cell>
          <cell r="N375">
            <v>0</v>
          </cell>
          <cell r="O375" t="e">
            <v>#N/A</v>
          </cell>
          <cell r="P375" t="e">
            <v>#N/A</v>
          </cell>
        </row>
        <row r="376">
          <cell r="A376" t="str">
            <v>Telemaco Borba</v>
          </cell>
          <cell r="B376" t="str">
            <v>var_pr</v>
          </cell>
          <cell r="C376">
            <v>4729.62</v>
          </cell>
          <cell r="D376">
            <v>4729.62</v>
          </cell>
          <cell r="E376" t="str">
            <v>dist</v>
          </cell>
          <cell r="F376">
            <v>4764</v>
          </cell>
          <cell r="G376">
            <v>4515</v>
          </cell>
          <cell r="H376" t="str">
            <v>labo</v>
          </cell>
          <cell r="I376">
            <v>3763.08</v>
          </cell>
          <cell r="J376">
            <v>3573</v>
          </cell>
          <cell r="K376" t="str">
            <v>ind_pr</v>
          </cell>
          <cell r="L376">
            <v>4211.45</v>
          </cell>
          <cell r="M376">
            <v>0</v>
          </cell>
          <cell r="N376" t="str">
            <v>hosp_pr</v>
          </cell>
          <cell r="O376">
            <v>4567</v>
          </cell>
          <cell r="P376">
            <v>0</v>
          </cell>
        </row>
        <row r="377">
          <cell r="A377" t="str">
            <v>Terra Boa</v>
          </cell>
          <cell r="B377" t="str">
            <v>var_pr</v>
          </cell>
          <cell r="C377">
            <v>4729.62</v>
          </cell>
          <cell r="D377">
            <v>4729.62</v>
          </cell>
          <cell r="E377" t="str">
            <v>dist</v>
          </cell>
          <cell r="F377">
            <v>4764</v>
          </cell>
          <cell r="G377">
            <v>4515</v>
          </cell>
          <cell r="H377" t="str">
            <v>labo</v>
          </cell>
          <cell r="I377">
            <v>3763.08</v>
          </cell>
          <cell r="J377">
            <v>3573</v>
          </cell>
          <cell r="K377" t="str">
            <v>ind_pr</v>
          </cell>
          <cell r="L377">
            <v>4211.45</v>
          </cell>
          <cell r="M377">
            <v>0</v>
          </cell>
          <cell r="N377" t="str">
            <v>hosp_cm</v>
          </cell>
          <cell r="O377">
            <v>4133.2</v>
          </cell>
          <cell r="P377">
            <v>0</v>
          </cell>
        </row>
        <row r="378">
          <cell r="A378" t="str">
            <v>Terra Rica</v>
          </cell>
          <cell r="B378" t="str">
            <v>var_par</v>
          </cell>
          <cell r="C378">
            <v>4846</v>
          </cell>
          <cell r="D378">
            <v>4846</v>
          </cell>
          <cell r="E378" t="str">
            <v>dist</v>
          </cell>
          <cell r="F378">
            <v>4764</v>
          </cell>
          <cell r="G378">
            <v>4515</v>
          </cell>
          <cell r="H378" t="str">
            <v>labo</v>
          </cell>
          <cell r="I378">
            <v>3763.08</v>
          </cell>
          <cell r="J378">
            <v>3573</v>
          </cell>
          <cell r="K378" t="str">
            <v>ind_pr</v>
          </cell>
          <cell r="L378">
            <v>4211.45</v>
          </cell>
          <cell r="M378">
            <v>0</v>
          </cell>
          <cell r="N378">
            <v>0</v>
          </cell>
          <cell r="O378" t="e">
            <v>#N/A</v>
          </cell>
          <cell r="P378" t="e">
            <v>#N/A</v>
          </cell>
        </row>
        <row r="379">
          <cell r="A379" t="str">
            <v>Terra Roxa</v>
          </cell>
          <cell r="B379" t="str">
            <v>var_op</v>
          </cell>
          <cell r="C379">
            <v>4410</v>
          </cell>
          <cell r="D379">
            <v>4219</v>
          </cell>
          <cell r="E379" t="str">
            <v>dist</v>
          </cell>
          <cell r="F379">
            <v>4764</v>
          </cell>
          <cell r="G379">
            <v>4515</v>
          </cell>
          <cell r="H379" t="str">
            <v>labo</v>
          </cell>
          <cell r="I379">
            <v>3763.08</v>
          </cell>
          <cell r="J379">
            <v>3573</v>
          </cell>
          <cell r="K379" t="str">
            <v>ind_pr</v>
          </cell>
          <cell r="L379">
            <v>4211.45</v>
          </cell>
          <cell r="M379">
            <v>0</v>
          </cell>
          <cell r="N379" t="str">
            <v>hosp_pr</v>
          </cell>
          <cell r="O379">
            <v>4567</v>
          </cell>
          <cell r="P379">
            <v>0</v>
          </cell>
        </row>
        <row r="380">
          <cell r="A380" t="str">
            <v>Tibagi</v>
          </cell>
          <cell r="B380" t="str">
            <v>var_pr</v>
          </cell>
          <cell r="C380">
            <v>4729.62</v>
          </cell>
          <cell r="D380">
            <v>4729.62</v>
          </cell>
          <cell r="E380" t="str">
            <v>dist</v>
          </cell>
          <cell r="F380">
            <v>4764</v>
          </cell>
          <cell r="G380">
            <v>4515</v>
          </cell>
          <cell r="H380" t="str">
            <v>labo</v>
          </cell>
          <cell r="I380">
            <v>3763.08</v>
          </cell>
          <cell r="J380">
            <v>3573</v>
          </cell>
          <cell r="K380" t="str">
            <v>ind_pr</v>
          </cell>
          <cell r="L380">
            <v>4211.45</v>
          </cell>
          <cell r="M380">
            <v>0</v>
          </cell>
          <cell r="N380" t="str">
            <v>hosp_pr</v>
          </cell>
          <cell r="O380">
            <v>4567</v>
          </cell>
          <cell r="P380">
            <v>0</v>
          </cell>
        </row>
        <row r="381">
          <cell r="A381" t="str">
            <v>Tijucas do Sul</v>
          </cell>
          <cell r="B381" t="str">
            <v>var_pr</v>
          </cell>
          <cell r="C381">
            <v>4729.62</v>
          </cell>
          <cell r="D381">
            <v>4729.62</v>
          </cell>
          <cell r="E381" t="str">
            <v>dist</v>
          </cell>
          <cell r="F381">
            <v>4764</v>
          </cell>
          <cell r="G381">
            <v>4515</v>
          </cell>
          <cell r="H381" t="str">
            <v>labo</v>
          </cell>
          <cell r="I381">
            <v>3763.08</v>
          </cell>
          <cell r="J381">
            <v>3573</v>
          </cell>
          <cell r="K381" t="str">
            <v>ind_pr</v>
          </cell>
          <cell r="L381">
            <v>4211.45</v>
          </cell>
          <cell r="M381">
            <v>0</v>
          </cell>
          <cell r="N381" t="str">
            <v>hosp_pr</v>
          </cell>
          <cell r="O381">
            <v>4567</v>
          </cell>
          <cell r="P381">
            <v>0</v>
          </cell>
        </row>
        <row r="382">
          <cell r="A382" t="str">
            <v>Toledo</v>
          </cell>
          <cell r="B382" t="str">
            <v>var_op</v>
          </cell>
          <cell r="C382">
            <v>4410</v>
          </cell>
          <cell r="D382">
            <v>4219</v>
          </cell>
          <cell r="E382" t="str">
            <v>dist</v>
          </cell>
          <cell r="F382">
            <v>4764</v>
          </cell>
          <cell r="G382">
            <v>4515</v>
          </cell>
          <cell r="H382" t="str">
            <v>labo</v>
          </cell>
          <cell r="I382">
            <v>3763.08</v>
          </cell>
          <cell r="J382">
            <v>3573</v>
          </cell>
          <cell r="K382" t="str">
            <v>ind_pr</v>
          </cell>
          <cell r="L382">
            <v>4211.45</v>
          </cell>
          <cell r="M382">
            <v>0</v>
          </cell>
          <cell r="N382" t="str">
            <v>hosp_pr</v>
          </cell>
          <cell r="O382">
            <v>4567</v>
          </cell>
          <cell r="P382">
            <v>0</v>
          </cell>
        </row>
        <row r="383">
          <cell r="A383" t="str">
            <v>Tomazina</v>
          </cell>
          <cell r="B383" t="str">
            <v>var_sto</v>
          </cell>
          <cell r="C383">
            <v>5030</v>
          </cell>
          <cell r="D383">
            <v>5030</v>
          </cell>
          <cell r="E383" t="str">
            <v>dist</v>
          </cell>
          <cell r="F383">
            <v>4764</v>
          </cell>
          <cell r="G383">
            <v>4515</v>
          </cell>
          <cell r="H383" t="str">
            <v>labo</v>
          </cell>
          <cell r="I383">
            <v>3763.08</v>
          </cell>
          <cell r="J383">
            <v>3573</v>
          </cell>
          <cell r="K383" t="str">
            <v>ind_pr</v>
          </cell>
          <cell r="L383">
            <v>4211.45</v>
          </cell>
          <cell r="M383">
            <v>0</v>
          </cell>
          <cell r="N383" t="str">
            <v>hosp_nor</v>
          </cell>
          <cell r="O383">
            <v>1760</v>
          </cell>
          <cell r="P383">
            <v>0</v>
          </cell>
        </row>
        <row r="384">
          <cell r="A384" t="str">
            <v>Tres Barras do Parana</v>
          </cell>
          <cell r="B384" t="str">
            <v>var_op</v>
          </cell>
          <cell r="C384">
            <v>4410</v>
          </cell>
          <cell r="D384">
            <v>4219</v>
          </cell>
          <cell r="E384" t="str">
            <v>dist</v>
          </cell>
          <cell r="F384">
            <v>4764</v>
          </cell>
          <cell r="G384">
            <v>4515</v>
          </cell>
          <cell r="H384" t="str">
            <v>labo</v>
          </cell>
          <cell r="I384">
            <v>3763.08</v>
          </cell>
          <cell r="J384">
            <v>3573</v>
          </cell>
          <cell r="K384" t="str">
            <v>ind_pr</v>
          </cell>
          <cell r="L384">
            <v>4211.45</v>
          </cell>
          <cell r="M384">
            <v>0</v>
          </cell>
          <cell r="N384">
            <v>0</v>
          </cell>
          <cell r="O384" t="e">
            <v>#N/A</v>
          </cell>
          <cell r="P384" t="e">
            <v>#N/A</v>
          </cell>
        </row>
        <row r="385">
          <cell r="A385" t="str">
            <v>Tunas do Parana</v>
          </cell>
          <cell r="B385" t="str">
            <v>var_pr</v>
          </cell>
          <cell r="C385">
            <v>4729.62</v>
          </cell>
          <cell r="D385">
            <v>4729.62</v>
          </cell>
          <cell r="E385" t="str">
            <v>dist</v>
          </cell>
          <cell r="F385">
            <v>4764</v>
          </cell>
          <cell r="G385">
            <v>4515</v>
          </cell>
          <cell r="H385" t="str">
            <v>labo</v>
          </cell>
          <cell r="I385">
            <v>3763.08</v>
          </cell>
          <cell r="J385">
            <v>3573</v>
          </cell>
          <cell r="K385" t="str">
            <v>ind_pr</v>
          </cell>
          <cell r="L385">
            <v>4211.45</v>
          </cell>
          <cell r="M385">
            <v>0</v>
          </cell>
          <cell r="N385">
            <v>0</v>
          </cell>
          <cell r="O385" t="e">
            <v>#N/A</v>
          </cell>
          <cell r="P385" t="e">
            <v>#N/A</v>
          </cell>
        </row>
        <row r="386">
          <cell r="A386" t="str">
            <v>Tuneiras do Oeste</v>
          </cell>
          <cell r="B386" t="str">
            <v>var_pr</v>
          </cell>
          <cell r="C386">
            <v>4729.62</v>
          </cell>
          <cell r="D386">
            <v>4729.62</v>
          </cell>
          <cell r="E386" t="str">
            <v>dist</v>
          </cell>
          <cell r="F386">
            <v>4764</v>
          </cell>
          <cell r="G386">
            <v>4515</v>
          </cell>
          <cell r="H386" t="str">
            <v>labo</v>
          </cell>
          <cell r="I386">
            <v>3763.08</v>
          </cell>
          <cell r="J386">
            <v>3573</v>
          </cell>
          <cell r="K386" t="str">
            <v>ind_pr</v>
          </cell>
          <cell r="L386">
            <v>4211.45</v>
          </cell>
          <cell r="M386">
            <v>0</v>
          </cell>
          <cell r="N386" t="str">
            <v>hosp_cia</v>
          </cell>
          <cell r="O386">
            <v>4003.87</v>
          </cell>
          <cell r="P386">
            <v>0</v>
          </cell>
        </row>
        <row r="387">
          <cell r="A387" t="str">
            <v>Tupassi</v>
          </cell>
          <cell r="B387" t="str">
            <v>var_op</v>
          </cell>
          <cell r="C387">
            <v>4410</v>
          </cell>
          <cell r="D387">
            <v>4219</v>
          </cell>
          <cell r="E387" t="str">
            <v>dist</v>
          </cell>
          <cell r="F387">
            <v>4764</v>
          </cell>
          <cell r="G387">
            <v>4515</v>
          </cell>
          <cell r="H387" t="str">
            <v>labo</v>
          </cell>
          <cell r="I387">
            <v>3763.08</v>
          </cell>
          <cell r="J387">
            <v>3573</v>
          </cell>
          <cell r="K387" t="str">
            <v>ind_pr</v>
          </cell>
          <cell r="L387">
            <v>4211.45</v>
          </cell>
          <cell r="M387">
            <v>0</v>
          </cell>
          <cell r="N387" t="str">
            <v>hosp_pr</v>
          </cell>
          <cell r="O387">
            <v>4567</v>
          </cell>
          <cell r="P387">
            <v>0</v>
          </cell>
        </row>
        <row r="388">
          <cell r="A388" t="str">
            <v>Turvo</v>
          </cell>
          <cell r="B388" t="str">
            <v>var_pr</v>
          </cell>
          <cell r="C388">
            <v>4729.62</v>
          </cell>
          <cell r="D388">
            <v>4729.62</v>
          </cell>
          <cell r="E388" t="str">
            <v>dist</v>
          </cell>
          <cell r="F388">
            <v>4764</v>
          </cell>
          <cell r="G388">
            <v>4515</v>
          </cell>
          <cell r="H388" t="str">
            <v>labo</v>
          </cell>
          <cell r="I388">
            <v>3763.08</v>
          </cell>
          <cell r="J388">
            <v>3573</v>
          </cell>
          <cell r="K388" t="str">
            <v>ind_pr</v>
          </cell>
          <cell r="L388">
            <v>4211.45</v>
          </cell>
          <cell r="M388">
            <v>0</v>
          </cell>
          <cell r="N388" t="str">
            <v>hosp_co</v>
          </cell>
          <cell r="O388">
            <v>3036.29</v>
          </cell>
          <cell r="P388">
            <v>0</v>
          </cell>
        </row>
        <row r="389">
          <cell r="A389" t="str">
            <v>Ubirata</v>
          </cell>
          <cell r="B389" t="str">
            <v>var_pr</v>
          </cell>
          <cell r="C389">
            <v>4729.62</v>
          </cell>
          <cell r="D389">
            <v>4729.62</v>
          </cell>
          <cell r="E389" t="str">
            <v>dist</v>
          </cell>
          <cell r="F389">
            <v>4764</v>
          </cell>
          <cell r="G389">
            <v>4515</v>
          </cell>
          <cell r="H389" t="str">
            <v>labo</v>
          </cell>
          <cell r="I389">
            <v>3763.08</v>
          </cell>
          <cell r="J389">
            <v>3573</v>
          </cell>
          <cell r="K389" t="str">
            <v>ind_pr</v>
          </cell>
          <cell r="L389">
            <v>4211.45</v>
          </cell>
          <cell r="M389">
            <v>0</v>
          </cell>
          <cell r="N389" t="str">
            <v>hosp_cm</v>
          </cell>
          <cell r="O389">
            <v>4133.2</v>
          </cell>
          <cell r="P389">
            <v>0</v>
          </cell>
        </row>
        <row r="390">
          <cell r="A390" t="str">
            <v>Umuarama</v>
          </cell>
          <cell r="B390" t="str">
            <v>var_pr</v>
          </cell>
          <cell r="C390">
            <v>4729.62</v>
          </cell>
          <cell r="D390">
            <v>4729.62</v>
          </cell>
          <cell r="E390" t="str">
            <v>dist</v>
          </cell>
          <cell r="F390">
            <v>4764</v>
          </cell>
          <cell r="G390">
            <v>4515</v>
          </cell>
          <cell r="H390" t="str">
            <v>labo</v>
          </cell>
          <cell r="I390">
            <v>3763.08</v>
          </cell>
          <cell r="J390">
            <v>3573</v>
          </cell>
          <cell r="K390" t="str">
            <v>ind_pr</v>
          </cell>
          <cell r="L390">
            <v>4211.45</v>
          </cell>
          <cell r="M390">
            <v>0</v>
          </cell>
          <cell r="N390" t="str">
            <v>hosp_umu</v>
          </cell>
          <cell r="O390">
            <v>2428.5500000000002</v>
          </cell>
          <cell r="P390">
            <v>0</v>
          </cell>
        </row>
        <row r="391">
          <cell r="A391" t="str">
            <v>Uniao da Vitoria</v>
          </cell>
          <cell r="B391" t="str">
            <v>var_pr</v>
          </cell>
          <cell r="C391">
            <v>4729.62</v>
          </cell>
          <cell r="D391">
            <v>4729.62</v>
          </cell>
          <cell r="E391" t="str">
            <v>dist</v>
          </cell>
          <cell r="F391">
            <v>4764</v>
          </cell>
          <cell r="G391">
            <v>4515</v>
          </cell>
          <cell r="H391" t="str">
            <v>labo</v>
          </cell>
          <cell r="I391">
            <v>3763.08</v>
          </cell>
          <cell r="J391">
            <v>3573</v>
          </cell>
          <cell r="K391" t="str">
            <v>ind_pr</v>
          </cell>
          <cell r="L391">
            <v>4211.45</v>
          </cell>
          <cell r="M391">
            <v>0</v>
          </cell>
          <cell r="N391">
            <v>0</v>
          </cell>
          <cell r="O391" t="e">
            <v>#N/A</v>
          </cell>
          <cell r="P391" t="e">
            <v>#N/A</v>
          </cell>
        </row>
        <row r="392">
          <cell r="A392" t="str">
            <v>Uniflor</v>
          </cell>
          <cell r="B392" t="str">
            <v>var_par</v>
          </cell>
          <cell r="C392">
            <v>4846</v>
          </cell>
          <cell r="D392">
            <v>4846</v>
          </cell>
          <cell r="E392" t="str">
            <v>dist</v>
          </cell>
          <cell r="F392">
            <v>4764</v>
          </cell>
          <cell r="G392">
            <v>4515</v>
          </cell>
          <cell r="H392" t="str">
            <v>labo</v>
          </cell>
          <cell r="I392">
            <v>3763.08</v>
          </cell>
          <cell r="J392">
            <v>3573</v>
          </cell>
          <cell r="K392" t="str">
            <v>ind_pr</v>
          </cell>
          <cell r="L392">
            <v>4211.45</v>
          </cell>
          <cell r="M392">
            <v>0</v>
          </cell>
          <cell r="N392" t="str">
            <v>hosp_mg</v>
          </cell>
          <cell r="O392">
            <v>3888.38</v>
          </cell>
          <cell r="P392">
            <v>0</v>
          </cell>
        </row>
        <row r="393">
          <cell r="A393" t="str">
            <v>Urai</v>
          </cell>
          <cell r="B393" t="str">
            <v>var_ld</v>
          </cell>
          <cell r="C393">
            <v>4750</v>
          </cell>
          <cell r="D393">
            <v>4527</v>
          </cell>
          <cell r="E393" t="str">
            <v>dist</v>
          </cell>
          <cell r="F393">
            <v>4764</v>
          </cell>
          <cell r="G393">
            <v>4515</v>
          </cell>
          <cell r="H393" t="str">
            <v>labo</v>
          </cell>
          <cell r="I393">
            <v>3763.08</v>
          </cell>
          <cell r="J393">
            <v>3573</v>
          </cell>
          <cell r="K393" t="str">
            <v>ind_pr</v>
          </cell>
          <cell r="L393">
            <v>4211.45</v>
          </cell>
          <cell r="M393">
            <v>0</v>
          </cell>
          <cell r="N393">
            <v>0</v>
          </cell>
          <cell r="O393" t="e">
            <v>#N/A</v>
          </cell>
          <cell r="P393" t="e">
            <v>#N/A</v>
          </cell>
        </row>
        <row r="394">
          <cell r="A394" t="str">
            <v>Ventania</v>
          </cell>
          <cell r="B394" t="str">
            <v>var_pr</v>
          </cell>
          <cell r="C394">
            <v>4729.62</v>
          </cell>
          <cell r="D394">
            <v>4729.62</v>
          </cell>
          <cell r="E394" t="str">
            <v>dist</v>
          </cell>
          <cell r="F394">
            <v>4764</v>
          </cell>
          <cell r="G394">
            <v>4515</v>
          </cell>
          <cell r="H394" t="str">
            <v>labo</v>
          </cell>
          <cell r="I394">
            <v>3763.08</v>
          </cell>
          <cell r="J394">
            <v>3573</v>
          </cell>
          <cell r="K394" t="str">
            <v>ind_pr</v>
          </cell>
          <cell r="L394">
            <v>4211.45</v>
          </cell>
          <cell r="M394">
            <v>0</v>
          </cell>
          <cell r="N394">
            <v>0</v>
          </cell>
          <cell r="O394" t="e">
            <v>#N/A</v>
          </cell>
          <cell r="P394" t="e">
            <v>#N/A</v>
          </cell>
        </row>
        <row r="395">
          <cell r="A395" t="str">
            <v>Vera Cruz do Oeste</v>
          </cell>
          <cell r="B395" t="str">
            <v>var_op</v>
          </cell>
          <cell r="C395">
            <v>4410</v>
          </cell>
          <cell r="D395">
            <v>4219</v>
          </cell>
          <cell r="E395" t="str">
            <v>dist</v>
          </cell>
          <cell r="F395">
            <v>4764</v>
          </cell>
          <cell r="G395">
            <v>4515</v>
          </cell>
          <cell r="H395" t="str">
            <v>labo</v>
          </cell>
          <cell r="I395">
            <v>3763.08</v>
          </cell>
          <cell r="J395">
            <v>3573</v>
          </cell>
          <cell r="K395" t="str">
            <v>ind_pr</v>
          </cell>
          <cell r="L395">
            <v>4211.45</v>
          </cell>
          <cell r="M395">
            <v>0</v>
          </cell>
          <cell r="N395">
            <v>0</v>
          </cell>
          <cell r="O395" t="e">
            <v>#N/A</v>
          </cell>
          <cell r="P395" t="e">
            <v>#N/A</v>
          </cell>
        </row>
        <row r="396">
          <cell r="A396" t="str">
            <v>Vere</v>
          </cell>
          <cell r="B396" t="str">
            <v>var_pr</v>
          </cell>
          <cell r="C396">
            <v>4729.62</v>
          </cell>
          <cell r="D396">
            <v>4729.62</v>
          </cell>
          <cell r="E396" t="str">
            <v>dist</v>
          </cell>
          <cell r="F396">
            <v>4764</v>
          </cell>
          <cell r="G396">
            <v>4515</v>
          </cell>
          <cell r="H396" t="str">
            <v>labo</v>
          </cell>
          <cell r="I396">
            <v>3763.08</v>
          </cell>
          <cell r="J396">
            <v>3573</v>
          </cell>
          <cell r="K396" t="str">
            <v>ind_pr</v>
          </cell>
          <cell r="L396">
            <v>4211.45</v>
          </cell>
          <cell r="M396">
            <v>0</v>
          </cell>
          <cell r="N396" t="str">
            <v>hosp_sudpr</v>
          </cell>
          <cell r="O396">
            <v>1760</v>
          </cell>
          <cell r="P396">
            <v>0</v>
          </cell>
        </row>
        <row r="397">
          <cell r="A397" t="str">
            <v>Virmond</v>
          </cell>
          <cell r="B397" t="str">
            <v>var_pr</v>
          </cell>
          <cell r="C397">
            <v>4729.62</v>
          </cell>
          <cell r="D397">
            <v>4729.62</v>
          </cell>
          <cell r="E397" t="str">
            <v>dist</v>
          </cell>
          <cell r="F397">
            <v>4764</v>
          </cell>
          <cell r="G397">
            <v>4515</v>
          </cell>
          <cell r="H397" t="str">
            <v>labo</v>
          </cell>
          <cell r="I397">
            <v>3763.08</v>
          </cell>
          <cell r="J397">
            <v>3573</v>
          </cell>
          <cell r="K397" t="str">
            <v>ind_pr</v>
          </cell>
          <cell r="L397">
            <v>4211.45</v>
          </cell>
          <cell r="M397">
            <v>0</v>
          </cell>
          <cell r="N397" t="str">
            <v>hosp_co</v>
          </cell>
          <cell r="O397">
            <v>3036.29</v>
          </cell>
          <cell r="P397">
            <v>0</v>
          </cell>
        </row>
        <row r="398">
          <cell r="A398" t="str">
            <v>Vitorino</v>
          </cell>
          <cell r="B398" t="str">
            <v>var_pr</v>
          </cell>
          <cell r="C398">
            <v>4729.62</v>
          </cell>
          <cell r="D398">
            <v>4729.62</v>
          </cell>
          <cell r="E398" t="str">
            <v>dist</v>
          </cell>
          <cell r="F398">
            <v>4764</v>
          </cell>
          <cell r="G398">
            <v>4515</v>
          </cell>
          <cell r="H398" t="str">
            <v>labo</v>
          </cell>
          <cell r="I398">
            <v>3763.08</v>
          </cell>
          <cell r="J398">
            <v>3573</v>
          </cell>
          <cell r="K398" t="str">
            <v>ind_pr</v>
          </cell>
          <cell r="L398">
            <v>4211.45</v>
          </cell>
          <cell r="M398">
            <v>0</v>
          </cell>
          <cell r="N398" t="str">
            <v>hosp_pb</v>
          </cell>
          <cell r="O398">
            <v>1760</v>
          </cell>
          <cell r="P398">
            <v>0</v>
          </cell>
        </row>
        <row r="399">
          <cell r="A399" t="str">
            <v>Wenceslau Braz</v>
          </cell>
          <cell r="B399" t="str">
            <v>var_sto</v>
          </cell>
          <cell r="C399">
            <v>5030</v>
          </cell>
          <cell r="D399">
            <v>5030</v>
          </cell>
          <cell r="E399" t="str">
            <v>dist</v>
          </cell>
          <cell r="F399">
            <v>4764</v>
          </cell>
          <cell r="G399">
            <v>4515</v>
          </cell>
          <cell r="H399" t="str">
            <v>labo</v>
          </cell>
          <cell r="I399">
            <v>3763.08</v>
          </cell>
          <cell r="J399">
            <v>3573</v>
          </cell>
          <cell r="K399" t="str">
            <v>ind_pr</v>
          </cell>
          <cell r="L399">
            <v>4211.45</v>
          </cell>
          <cell r="M399">
            <v>0</v>
          </cell>
          <cell r="N399" t="str">
            <v>hosp_nor</v>
          </cell>
          <cell r="O399">
            <v>1760</v>
          </cell>
          <cell r="P399">
            <v>0</v>
          </cell>
        </row>
        <row r="400">
          <cell r="A400" t="str">
            <v>Xambre</v>
          </cell>
          <cell r="B400" t="str">
            <v>var_pr</v>
          </cell>
          <cell r="C400">
            <v>4729.62</v>
          </cell>
          <cell r="D400">
            <v>4729.62</v>
          </cell>
          <cell r="E400" t="str">
            <v>dist</v>
          </cell>
          <cell r="F400">
            <v>4764</v>
          </cell>
          <cell r="G400">
            <v>4515</v>
          </cell>
          <cell r="H400" t="str">
            <v>labo</v>
          </cell>
          <cell r="I400">
            <v>3763.08</v>
          </cell>
          <cell r="J400">
            <v>3573</v>
          </cell>
          <cell r="K400" t="str">
            <v>ind_pr</v>
          </cell>
          <cell r="L400">
            <v>4211.45</v>
          </cell>
          <cell r="M400">
            <v>0</v>
          </cell>
          <cell r="N400" t="str">
            <v>hosp_umu</v>
          </cell>
          <cell r="O400">
            <v>2428.5500000000002</v>
          </cell>
          <cell r="P400">
            <v>0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</sheetNames>
    <sheetDataSet>
      <sheetData sheetId="0">
        <row r="2">
          <cell r="A2" t="str">
            <v>DESINSETIZADORAS</v>
          </cell>
          <cell r="B2" t="str">
            <v xml:space="preserve">DEDETIZADORA + NOME FANTASIA  </v>
          </cell>
          <cell r="C2" t="str">
            <v>DEDETIZADORA MATINSET</v>
          </cell>
          <cell r="D2" t="str">
            <v>A IDENTIFICAÇÃO DO ESTABELECIMENTO NÃO DEVE SER ABREVIADA. EX. INCORRETO: DIST., HOSP., ETC</v>
          </cell>
          <cell r="E2" t="str">
            <v>*</v>
          </cell>
          <cell r="F2" t="str">
            <v>*</v>
          </cell>
          <cell r="G2" t="str">
            <v>A RAZÃO SOCIAL DEVE SEGUIR O MESMO PADRÃO DO CARTÃO CNPJ</v>
          </cell>
        </row>
        <row r="3">
          <cell r="A3" t="str">
            <v>DISTRIBUIDORA - OUTRAS</v>
          </cell>
          <cell r="B3" t="str">
            <v xml:space="preserve">DISTRIBUIDORA + NOME FANTASIA                     </v>
          </cell>
          <cell r="C3" t="str">
            <v>DISTRIBUIDORA ARCON</v>
          </cell>
          <cell r="D3" t="str">
            <v>A IDENTIFICAÇÃO DO ESTABELECIMENTO NÃO DEVE SER ABREVIADA. EX. INCORRETO: DIST., HOSP., ETC</v>
          </cell>
          <cell r="E3" t="str">
            <v>NÃO COLOCAR "DISTRIBUIDORA DE MED." OU DE "CORRELATOS", POIS ESSAS CATEGORIAS JÁ SÃO SEPARADAS POR TIPO DE ESTABELECIMENTO</v>
          </cell>
          <cell r="F3" t="str">
            <v>*</v>
          </cell>
          <cell r="G3" t="str">
            <v>A RAZÃO SOCIAL DEVE SEGUIR O MESMO PADRÃO DO CARTÃO CNPJ</v>
          </cell>
        </row>
        <row r="4">
          <cell r="A4" t="str">
            <v>DISTRIBUIDORA DE CORRELATOS E PROD. SAÚDE</v>
          </cell>
          <cell r="B4" t="str">
            <v xml:space="preserve">DISTRIBUIDORA + NOME FANTASIA                        </v>
          </cell>
          <cell r="C4" t="str">
            <v>DISTRIBUIDORA SÃO TOMÉ</v>
          </cell>
          <cell r="D4" t="str">
            <v>A IDENTIFICAÇÃO DO ESTABELECIMENTO NÃO DEVE SER ABREVIADA. EX. INCORRETO: DIST., HOSP., ETC</v>
          </cell>
          <cell r="E4" t="str">
            <v>NÃO COLOCAR "DISTRIBUIDORA DE MED." OU DE "CORRELATOS", POIS ESSAS CATEGORIAS JÁ SÃO SEPARADAS POR TIPO DE ESTABELECIMENTO</v>
          </cell>
          <cell r="F4" t="str">
            <v>*</v>
          </cell>
          <cell r="G4" t="str">
            <v>A RAZÃO SOCIAL DEVE SEGUIR O MESMO PADRÃO DO CARTÃO CNPJ</v>
          </cell>
        </row>
        <row r="5">
          <cell r="A5" t="str">
            <v>DISTRIBUIDORA DE COSMÉTICOS E PERFUMARIA</v>
          </cell>
          <cell r="B5" t="str">
            <v xml:space="preserve">DISTRIBUIDORA + NOME FANTASIA                        </v>
          </cell>
          <cell r="C5" t="str">
            <v>DISTRIBUIDORA NATURA</v>
          </cell>
          <cell r="D5" t="str">
            <v>A IDENTIFICAÇÃO DO ESTABELECIMENTO NÃO DEVE SER ABREVIADA. EX. INCORRETO: DIST., HOSP., ETC</v>
          </cell>
          <cell r="E5" t="str">
            <v>NÃO COLOCAR "DISTRIBUIDORA DE MED." OU DE "CORRELATOS", POIS ESSAS CATEGORIAS JÁ SÃO SEPARADAS POR TIPO DE ESTABELECIMENTO</v>
          </cell>
          <cell r="F5" t="str">
            <v>*</v>
          </cell>
          <cell r="G5" t="str">
            <v>A RAZÃO SOCIAL DEVE SEGUIR O MESMO PADRÃO DO CARTÃO CNPJ</v>
          </cell>
        </row>
        <row r="6">
          <cell r="A6" t="str">
            <v>DISTRIBUIDORA MEDICAMENTOS, INSUMOS E DROGAS</v>
          </cell>
          <cell r="B6" t="str">
            <v xml:space="preserve">DISTRIBUIDORA + NOME FANTASIA                      </v>
          </cell>
          <cell r="C6" t="str">
            <v>DISTRIBUIDORA SANTA CRUZ</v>
          </cell>
          <cell r="D6" t="str">
            <v>A IDENTIFICAÇÃO DO ESTABELECIMENTO NÃO DEVE SER ABREVIADA. EX. INCORRETO: DIST., HOSP., ETC</v>
          </cell>
          <cell r="E6" t="str">
            <v>NÃO COLOCAR "DISTRIBUIDORA DE MED." OU DE "CORRELATOS", POIS ESSAS CATEGORIAS JÁ SÃO SEPARADAS POR TIPO DE ESTABELECIMENTO</v>
          </cell>
          <cell r="F6" t="str">
            <v>*</v>
          </cell>
          <cell r="G6" t="str">
            <v>A RAZÃO SOCIAL DEVE SEGUIR O MESMO PADRÃO DO CARTÃO CNPJ</v>
          </cell>
        </row>
        <row r="7">
          <cell r="A7" t="str">
            <v>DISTRIBUIDORA OU C.A.F. - ORGÃO PÚBLICO</v>
          </cell>
          <cell r="B7" t="str">
            <v>CAF PM + MUNICIPIO</v>
          </cell>
          <cell r="C7" t="str">
            <v>CAF PM CURITIBA</v>
          </cell>
          <cell r="D7" t="str">
            <v>A IDENTIFICAÇÃO DO ESTABELECIMENTO NÃO DEVE SER ABREVIADA. EX. INCORRETO: DIST., HOSP., ETC</v>
          </cell>
          <cell r="E7" t="str">
            <v>A RAZÃO SOCIAL DE ESTABELECIMENTOS MUNICIPAIS DEVE SER CADASTRADO COMO "Município X". NÃO USAR  "Prefeitura Municipal X".  </v>
          </cell>
          <cell r="F7" t="str">
            <v>*</v>
          </cell>
          <cell r="G7" t="str">
            <v>A RAZÃO SOCIAL DEVE SEGUIR O MESMO PADRÃO DO CARTÃO CNPJ</v>
          </cell>
        </row>
        <row r="8">
          <cell r="A8" t="str">
            <v>DISTRIBUIDORA OU C.A.F. - ORGÃO PÚBLICO</v>
          </cell>
          <cell r="B8" t="str">
            <v>CAF RS + MUNICIPIO</v>
          </cell>
          <cell r="C8" t="str">
            <v>CAF RS TELEMACO BORBA</v>
          </cell>
          <cell r="D8" t="str">
            <v>A IDENTIFICAÇÃO DO ESTABELECIMENTO NÃO DEVE SER ABREVIADA. EX. INCORRETO: DIST., HOSP., ETC</v>
          </cell>
          <cell r="E8" t="str">
            <v>A RAZÃO SOCIAL DE ESTABELECIMENTOS MUNICIPAIS DEVE SER CADASTRADO COMO "Município X". NÃO USAR  "Prefeitura Municipal X".  </v>
          </cell>
          <cell r="F8" t="str">
            <v>*</v>
          </cell>
          <cell r="G8" t="str">
            <v>A RAZÃO SOCIAL DEVE SEGUIR O MESMO PADRÃO DO CARTÃO CNPJ</v>
          </cell>
        </row>
        <row r="9">
          <cell r="A9" t="str">
            <v>FARMÁCIA - ORGÃO PÚBLICO - MUNICIPAIS</v>
          </cell>
          <cell r="B9" t="str">
            <v>FARMÁCIA PM + MUNICIPIO + (US, UPA) + NOME "FANTASIA" ou BAIRRO</v>
          </cell>
          <cell r="C9" t="str">
            <v>FARMÁCIA PM CURITIBA UPA BOA VISTA,  FARMÁCIA PM CURITIBA US TRINDADE</v>
          </cell>
          <cell r="D9" t="str">
            <v>A IDENTIFICAÇÃO DO ESTABELECIMENTO NÃO DEVE SER ABREVIADA. EX. INCORRETO: DIST., HOSP., ETC</v>
          </cell>
          <cell r="E9" t="str">
            <v>A RAZÃO SOCIAL DE ESTABELECIMENTOS MUNICIPAIS DEVE SER CADASTRADO COMO "Município X". NÃO USAR  "Prefeitura Municipal X".  </v>
          </cell>
          <cell r="F9" t="str">
            <v>*</v>
          </cell>
          <cell r="G9" t="str">
            <v>A RAZÃO SOCIAL DEVE SEGUIR O MESMO PADRÃO DO CARTÃO CNPJ</v>
          </cell>
        </row>
        <row r="10">
          <cell r="A10" t="str">
            <v>FARMÁCIA - ORGÃO PÚBLICO - REGIONAL DE SAÚDE</v>
          </cell>
          <cell r="B10" t="str">
            <v xml:space="preserve">FARMÁCIA RS +  MUNICIPIO </v>
          </cell>
          <cell r="C10" t="str">
            <v xml:space="preserve">FARMÁCIA RS CASCAVEL </v>
          </cell>
          <cell r="D10" t="str">
            <v>A IDENTIFICAÇÃO DO ESTABELECIMENTO NÃO DEVE SER ABREVIADA. EX. INCORRETO: DIST., HOSP., ETC</v>
          </cell>
          <cell r="E10" t="str">
            <v>A RAZÃO SOCIAL DE ESTABELECIMENTOS MUNICIPAIS DEVE SER CADASTRADO COMO "Município X". NÃO USAR  "Prefeitura Municipal X".  </v>
          </cell>
          <cell r="F10" t="str">
            <v>*</v>
          </cell>
          <cell r="G10" t="str">
            <v>A RAZÃO SOCIAL DEVE SEGUIR O MESMO PADRÃO DO CARTÃO CNPJ</v>
          </cell>
        </row>
        <row r="11">
          <cell r="A11" t="str">
            <v>FARMÁCIA EQUIVALENTE HOSPITALAR - PRIVADA</v>
          </cell>
          <cell r="B11" t="str">
            <v>FARMÁCIA + RAMO ATIVIDADE + NOME FANTASIA</v>
          </cell>
          <cell r="C11" t="str">
            <v>FARMÁCIA CLÍNICA SÃO GABRIEL, FARMÁCIA SAMU MARINGÁ, FARMÁCIA CENTRO DIAG. CAPÃO RASO</v>
          </cell>
          <cell r="D11" t="str">
            <v>A IDENTIFICAÇÃO DO ESTABELECIMENTO NÃO DEVE SER ABREVIADA. EX. INCORRETO: DIST., HOSP., ETC</v>
          </cell>
          <cell r="E11" t="str">
            <v>*</v>
          </cell>
          <cell r="F11" t="str">
            <v>*</v>
          </cell>
          <cell r="G11" t="str">
            <v>A RAZÃO SOCIAL DEVE SEGUIR O MESMO PADRÃO DO CARTÃO CNPJ</v>
          </cell>
        </row>
        <row r="12">
          <cell r="A12" t="str">
            <v>FARMÁCIA EQUIVALENTE HOSPITALAR ORGÃO PÚBLICO</v>
          </cell>
          <cell r="B12" t="str">
            <v>FARMÁCIA + RAMO ATIVIDADE + NOME FANTASIA</v>
          </cell>
          <cell r="C12" t="str">
            <v>FARMÁCIA HOME CARE MEDSAUDE</v>
          </cell>
          <cell r="D12" t="str">
            <v>A IDENTIFICAÇÃO DO ESTABELECIMENTO NÃO DEVE SER ABREVIADA. EX. INCORRETO: DIST., HOSP., ETC</v>
          </cell>
          <cell r="E12" t="str">
            <v>A RAZÃO SOCIAL DE ESTABELECIMENTOS MUNICIPAIS DEVE SER CADASTRADO COMO "Município X". NÃO USAR  "Prefeitura Municipal X".  </v>
          </cell>
          <cell r="F12" t="str">
            <v>*</v>
          </cell>
          <cell r="G12" t="str">
            <v>A RAZÃO SOCIAL DEVE SEGUIR O MESMO PADRÃO DO CARTÃO CNPJ</v>
          </cell>
        </row>
        <row r="13">
          <cell r="A13" t="str">
            <v>FARMÁCIA HOSPITALAR - ORGÃO PÚBLICO</v>
          </cell>
          <cell r="B13" t="str">
            <v>FARMÁCIA HOSPITAL + NOME FANTASIA</v>
          </cell>
          <cell r="C13" t="str">
            <v>FARMÁCIA HOSPITAL EVANGÉLICO</v>
          </cell>
          <cell r="D13" t="str">
            <v>A IDENTIFICAÇÃO DO ESTABELECIMENTO NÃO DEVE SER ABREVIADA. EX. INCORRETO: DIST., HOSP., ETC</v>
          </cell>
          <cell r="E13" t="str">
            <v>A RAZÃO SOCIAL DE ESTABELECIMENTOS MUNICIPAIS DEVE SER CADASTRADO COMO "Município X". NÃO USAR  "Prefeitura Municipal X".  </v>
          </cell>
          <cell r="F13" t="str">
            <v>*</v>
          </cell>
          <cell r="G13" t="str">
            <v>A RAZÃO SOCIAL DEVE SEGUIR O MESMO PADRÃO DO CARTÃO CNPJ</v>
          </cell>
        </row>
        <row r="14">
          <cell r="A14" t="str">
            <v>FARMÁCIA HOSPITALAR - PRIVADA</v>
          </cell>
          <cell r="B14" t="str">
            <v>FARMÁCIA HOSPITAL + NOME FANTASIA</v>
          </cell>
          <cell r="C14" t="str">
            <v>FARMÁCIA HOSPITAL MUN. BOM JESUS</v>
          </cell>
          <cell r="D14" t="str">
            <v>A IDENTIFICAÇÃO DO ESTABELECIMENTO NÃO DEVE SER ABREVIADA. EX. INCORRETO: DIST., HOSP., ETC</v>
          </cell>
          <cell r="E14" t="str">
            <v>*</v>
          </cell>
          <cell r="F14" t="str">
            <v>*</v>
          </cell>
          <cell r="G14" t="str">
            <v>A RAZÃO SOCIAL DEVE SEGUIR O MESMO PADRÃO DO CARTÃO CNPJ</v>
          </cell>
        </row>
        <row r="15">
          <cell r="A15" t="str">
            <v>FARMÁCIA SEM MANIPULAÇÃO - PROP. LEIGO</v>
          </cell>
          <cell r="B15" t="str">
            <v xml:space="preserve">FARMÁCIA OU DROGARIA + (QUANDO TEM VARIAS FILIAIS - REDES/FRANQUIAS) BAIRRO ou NOME DA RUA ou NOME QUE IDENTIFIQUE    </v>
          </cell>
          <cell r="C15" t="str">
            <v>FARMÁCIA TRABALHADOR</v>
          </cell>
          <cell r="D15" t="str">
            <v>A IDENTIFICAÇÃO DO ESTABELECIMENTO NÃO DEVE SER ABREVIADA. EX. INCORRETO: DIST., HOSP., ETC</v>
          </cell>
          <cell r="E15" t="str">
            <v xml:space="preserve">AS REDES E/OU FRANQUIAS OU NOMES TRADICIONAIS FORMADOS PELA CONJUNÇÃO DE PALAVRAS DEVEM SER NOMEADOS COM AS DUAS PALAVRAS SEPARADAS. EX.: SUPER POPULAR, PREÇO JUSTO. </v>
          </cell>
          <cell r="F15" t="str">
            <v>*</v>
          </cell>
          <cell r="G15" t="str">
            <v>A RAZÃO SOCIAL DEVE SEGUIR O MESMO PADRÃO DO CARTÃO CNPJ</v>
          </cell>
        </row>
        <row r="16">
          <cell r="A16" t="str">
            <v>FARMÁCIA SEM MANIPULAÇÃO PROP. FARMACÊUTICO</v>
          </cell>
          <cell r="B16" t="str">
            <v xml:space="preserve">FARMÁCIA OU DROGARIA + (QUANDO TEM VARIAS FILIAIS - REDES/FRANQUIAS) BAIRRO ou NOME DA RUA ou NOME QUE IDENTIFIQUE    </v>
          </cell>
          <cell r="C16" t="str">
            <v>FARMÁCIA NISSEI BAIRRO ALTO</v>
          </cell>
          <cell r="D16" t="str">
            <v>A IDENTIFICAÇÃO DO ESTABELECIMENTO NÃO DEVE SER ABREVIADA. EX. INCORRETO: DIST., HOSP., ETC</v>
          </cell>
          <cell r="E16" t="str">
            <v xml:space="preserve">AS REDES E/OU FRANQUIAS OU NOMES TRADICIONAIS FORMADOS PELA CONJUNÇÃO DE PALAVRAS DEVEM SER NOMEADOS COM AS DUAS PALAVRAS SEPARADAS. EX.: SUPER POPULAR, PREÇO JUSTO. </v>
          </cell>
          <cell r="F16" t="str">
            <v>*</v>
          </cell>
          <cell r="G16" t="str">
            <v>A RAZÃO SOCIAL DEVE SEGUIR O MESMO PADRÃO DO CARTÃO CNPJ</v>
          </cell>
        </row>
        <row r="17">
          <cell r="A17" t="str">
            <v>FARMÁCIA SEM MANIPULAÇÃO PROP.OFICIAL FARM.</v>
          </cell>
          <cell r="B17" t="str">
            <v xml:space="preserve">FARMÁCIA OU DROGARIA + (QUANDO TEM VARIAS FILIAIS - REDES/FRANQUIAS) BAIRRO ou NOME DA RUA ou NOME QUE IDENTIFIQUE    </v>
          </cell>
          <cell r="C17" t="str">
            <v>FARMÁCIA MEDFORMULAS</v>
          </cell>
          <cell r="D17" t="str">
            <v>A IDENTIFICAÇÃO DO ESTABELECIMENTO NÃO DEVE SER ABREVIADA. EX. INCORRETO: DIST., HOSP., ETC</v>
          </cell>
          <cell r="E17" t="str">
            <v xml:space="preserve">AS REDES E/OU FRANQUIAS OU NOMES TRADICIONAIS FORMADOS PELA CONJUNÇÃO DE PALAVRAS DEVEM SER NOMEADOS COM AS DUAS PALAVRAS SEPARADAS. EX.: SUPER POPULAR, PREÇO JUSTO. </v>
          </cell>
          <cell r="F17" t="str">
            <v>*</v>
          </cell>
          <cell r="G17" t="str">
            <v>A RAZÃO SOCIAL DEVE SEGUIR O MESMO PADRÃO DO CARTÃO CNPJ</v>
          </cell>
        </row>
        <row r="18">
          <cell r="A18" t="str">
            <v>FARMÁCIA COM MANIPULAÇÃO - PROP. FARMACEUTICO</v>
          </cell>
          <cell r="B18" t="str">
            <v xml:space="preserve">FARMÁCIA OU DROGARIA + (QUANDO TEM VARIAS FILIAIS - REDES/FRANQUIAS) BAIRRO ou NOME DA RUA ou NOME QUE IDENTIFIQUE    </v>
          </cell>
          <cell r="C18" t="str">
            <v>FARMÁCIA ALQUIMIA</v>
          </cell>
          <cell r="D18" t="str">
            <v>A IDENTIFICAÇÃO DO ESTABELECIMENTO NÃO DEVE SER ABREVIADA. EX. INCORRETO: DIST., HOSP., ETC</v>
          </cell>
          <cell r="E18" t="str">
            <v xml:space="preserve">AS REDES E/OU FRANQUIAS OU NOMES TRADICIONAIS FORMADOS PELA CONJUNÇÃO DE PALAVRAS DEVEM SER NOMEADOS COM AS DUAS PALAVRAS SEPARADAS. EX.: SUPER POPULAR, PREÇO JUSTO. </v>
          </cell>
          <cell r="F18" t="str">
            <v>NÃO COLOCAR JUNTO AO NOME FANTASIA, A INFORMAÇÃO DE QUE SE TRATA DE FARMÁCIA DE MANIPULAÇÃO, POIS ESSA INFORMAÇÃO JÁ CONSTA NA NATUREZA DA ATIVIDADE, EX. CORRETO: FARMÁCIA LONDRIFORMULAS; EX. INCORRETO: FARMÁCIA DE MANIPULAÇÃO LONDRIFORMULAS.</v>
          </cell>
          <cell r="G18" t="str">
            <v>A RAZÃO SOCIAL DEVE SEGUIR O MESMO PADRÃO DO CARTÃO CNPJ</v>
          </cell>
        </row>
        <row r="19">
          <cell r="A19" t="str">
            <v>FARMÁCIA COM MANIPULAÇÃO - PROP. LEIGO</v>
          </cell>
          <cell r="B19" t="str">
            <v xml:space="preserve">FARMÁCIA OU DROGARIA + (QUANDO TEM VARIAS FILIAIS - REDES/FRANQUIAS) BAIRRO ou NOME DA RUA ou NOME QUE IDENTIFIQUE    </v>
          </cell>
          <cell r="C19" t="str">
            <v>FARMÁCIA MAXIFARMA BOM JESUS</v>
          </cell>
          <cell r="D19" t="str">
            <v>A IDENTIFICAÇÃO DO ESTABELECIMENTO NÃO DEVE SER ABREVIADA. EX. INCORRETO: DIST., HOSP., ETC</v>
          </cell>
          <cell r="E19" t="str">
            <v xml:space="preserve">AS REDES E/OU FRANQUIAS OU NOMES TRADICIONAIS FORMADOS PELA CONJUNÇÃO DE PALAVRAS DEVEM SER NOMEADOS COM AS DUAS PALAVRAS SEPARADAS. EX.: SUPER POPULAR, PREÇO JUSTO. </v>
          </cell>
          <cell r="F19" t="str">
            <v>NÃO COLOCAR JUNTO AO NOME FANTASIA, A INFORMAÇÃO DE QUE SE TRATA DE FARMÁCIA DE MANIPULAÇÃO, POIS ESSA INFORMAÇÃO JÁ CONSTA NA NATUREZA DA ATIVIDADE, EX. CORRETO: FARMÁCIA LONDRIFORMULAS; EX. INCORRETO: FARMÁCIA DE MANIPULAÇÃO LONDRIFORMULAS.</v>
          </cell>
          <cell r="G19" t="str">
            <v>A RAZÃO SOCIAL DEVE SEGUIR O MESMO PADRÃO DO CARTÃO CNPJ</v>
          </cell>
        </row>
        <row r="20">
          <cell r="A20" t="str">
            <v>FARMÁCIA HOMEOPÁTICA - PROP. FARMACÊUTICO</v>
          </cell>
          <cell r="B20" t="str">
            <v xml:space="preserve">FARMÁCIA OU DROGARIA + (QUANDO TEM VARIAS FILIAIS - REDES/FRANQUIAS) BAIRRO ou NOME DA RUA ou NOME QUE IDENTIFIQUE    </v>
          </cell>
          <cell r="C20" t="str">
            <v>FARMÁCIA FARMATOTAL</v>
          </cell>
          <cell r="D20" t="str">
            <v>A IDENTIFICAÇÃO DO ESTABELECIMENTO NÃO DEVE SER ABREVIADA. EX. INCORRETO: DIST., HOSP., ETC</v>
          </cell>
          <cell r="E20" t="str">
            <v xml:space="preserve">AS REDES E/OU FRANQUIAS OU NOMES TRADICIONAIS FORMADOS PELA CONJUNÇÃO DE PALAVRAS DEVEM SER NOMEADOS COM AS DUAS PALAVRAS SEPARADAS. EX.: SUPER POPULAR, PREÇO JUSTO. </v>
          </cell>
          <cell r="F20" t="str">
            <v>NÃO COLOCAR JUNTO AO NOME FANTASIA, A INFORMAÇÃO DE QUE SE TRATA DE FARMÁCIA DE MANIPULAÇÃO, POIS ESSA INFORMAÇÃO JÁ CONSTA NA NATUREZA DA ATIVIDADE, EX. CORRETO: FARMÁCIA LONDRIFORMULAS; EX. INCORRETO: FARMÁCIA DE MANIPULAÇÃO LONDRIFORMULAS.</v>
          </cell>
          <cell r="G20" t="str">
            <v>A RAZÃO SOCIAL DEVE SEGUIR O MESMO PADRÃO DO CARTÃO CNPJ</v>
          </cell>
        </row>
        <row r="21">
          <cell r="A21" t="str">
            <v>FARMÁCIA HOMEOPÁTICA - PROP. LEIGO</v>
          </cell>
          <cell r="B21" t="str">
            <v xml:space="preserve">FARMÁCIA OU DROGARIA + (QUANDO TEM VARIAS FILIAIS - REDES/FRANQUIAS) BAIRRO ou NOME DA RUA ou NOME QUE IDENTIFIQUE    </v>
          </cell>
          <cell r="C21" t="str">
            <v xml:space="preserve">FARMÁCIA MARCFARMA </v>
          </cell>
          <cell r="D21" t="str">
            <v>A IDENTIFICAÇÃO DO ESTABELECIMENTO NÃO DEVE SER ABREVIADA. EX. INCORRETO: DIST., HOSP., ETC</v>
          </cell>
          <cell r="E21" t="str">
            <v xml:space="preserve">AS REDES E/OU FRANQUIAS OU NOMES TRADICIONAIS FORMADOS PELA CONJUNÇÃO DE PALAVRAS DEVEM SER NOMEADOS COM AS DUAS PALAVRAS SEPARADAS. EX.: SUPER POPULAR, PREÇO JUSTO. </v>
          </cell>
          <cell r="F21" t="str">
            <v>NÃO COLOCAR JUNTO AO NOME FANTASIA, A INFORMAÇÃO DE QUE SE TRATA DE FARMÁCIA DE MANIPULAÇÃO, POIS ESSA INFORMAÇÃO JÁ CONSTA NA NATUREZA DA ATIVIDADE, EX. CORRETO: FARMÁCIA LONDRIFORMULAS; EX. INCORRETO: FARMÁCIA DE MANIPULAÇÃO LONDRIFORMULAS.</v>
          </cell>
          <cell r="G21" t="str">
            <v>A RAZÃO SOCIAL DEVE SEGUIR O MESMO PADRÃO DO CARTÃO CNPJ</v>
          </cell>
        </row>
        <row r="22">
          <cell r="A22" t="str">
            <v>INDÚSTRIAS - OUTRAS</v>
          </cell>
          <cell r="B22" t="str">
            <v>INDÚSTRIA + NOME FANTASIA</v>
          </cell>
          <cell r="C22" t="str">
            <v>INDÚSTRIA MEDPLASTICOS</v>
          </cell>
          <cell r="D22" t="str">
            <v>A IDENTIFICAÇÃO DO ESTABELECIMENTO NÃO DEVE SER ABREVIADA. EX. INCORRETO: DIST., HOSP., ETC</v>
          </cell>
          <cell r="E22" t="str">
            <v>*</v>
          </cell>
          <cell r="F22" t="str">
            <v>*</v>
          </cell>
          <cell r="G22" t="str">
            <v>A RAZÃO SOCIAL DEVE SEGUIR O MESMO PADRÃO DO CARTÃO CNPJ</v>
          </cell>
        </row>
        <row r="23">
          <cell r="A23" t="str">
            <v>INDÚSTRIAS DE CORRELATOS E PROD. SAÚDE</v>
          </cell>
          <cell r="B23" t="str">
            <v>INDÚSTRIA + NOME FANTASIA</v>
          </cell>
          <cell r="C23" t="str">
            <v>INDÚSTRIA NEODENTE</v>
          </cell>
          <cell r="D23" t="str">
            <v>A IDENTIFICAÇÃO DO ESTABELECIMENTO NÃO DEVE SER ABREVIADA. EX. INCORRETO: DIST., HOSP., ETC</v>
          </cell>
          <cell r="E23" t="str">
            <v>*</v>
          </cell>
          <cell r="F23" t="str">
            <v>*</v>
          </cell>
          <cell r="G23" t="str">
            <v>A RAZÃO SOCIAL DEVE SEGUIR O MESMO PADRÃO DO CARTÃO CNPJ</v>
          </cell>
        </row>
        <row r="24">
          <cell r="A24" t="str">
            <v>INDÚSTRIAS DE COSMÉTICOS E PERFUMARIA</v>
          </cell>
          <cell r="B24" t="str">
            <v>INDÚSTRIA + NOME FANTASIA</v>
          </cell>
          <cell r="C24" t="str">
            <v>INDÚSTRIA O BOTICÁRIO</v>
          </cell>
          <cell r="D24" t="str">
            <v>A IDENTIFICAÇÃO DO ESTABELECIMENTO NÃO DEVE SER ABREVIADA. EX. INCORRETO: DIST., HOSP., ETC</v>
          </cell>
          <cell r="E24" t="str">
            <v>*</v>
          </cell>
          <cell r="F24" t="str">
            <v>*</v>
          </cell>
          <cell r="G24" t="str">
            <v>A RAZÃO SOCIAL DEVE SEGUIR O MESMO PADRÃO DO CARTÃO CNPJ</v>
          </cell>
        </row>
        <row r="25">
          <cell r="A25" t="str">
            <v>INDÚSTRIAS DE MEDICAMENTOS, INSUMOS E DROGAS</v>
          </cell>
          <cell r="B25" t="str">
            <v>INDÚSTRIA + NOME FANTASIA</v>
          </cell>
          <cell r="C25" t="str">
            <v>INDÚSTRIA PRATI-DONADUZZI</v>
          </cell>
          <cell r="D25" t="str">
            <v>A IDENTIFICAÇÃO DO ESTABELECIMENTO NÃO DEVE SER ABREVIADA. EX. INCORRETO: DIST., HOSP., ETC</v>
          </cell>
          <cell r="E25" t="str">
            <v>*</v>
          </cell>
          <cell r="F25" t="str">
            <v>*</v>
          </cell>
          <cell r="G25" t="str">
            <v>A RAZÃO SOCIAL DEVE SEGUIR O MESMO PADRÃO DO CARTÃO CNPJ</v>
          </cell>
        </row>
        <row r="26">
          <cell r="A26" t="str">
            <v>LABORATÓRIO - OUTROS</v>
          </cell>
          <cell r="B26" t="str">
            <v>LABORATÓRIO + NOME FANTASIA</v>
          </cell>
          <cell r="C26" t="str">
            <v>LABORATÓRIO CARBA</v>
          </cell>
          <cell r="D26" t="str">
            <v>A IDENTIFICAÇÃO DO ESTABELECIMENTO NÃO DEVE SER ABREVIADA. EX. INCORRETO: DIST., HOSP., ETC</v>
          </cell>
          <cell r="E26" t="str">
            <v>*</v>
          </cell>
          <cell r="F26" t="str">
            <v>*</v>
          </cell>
          <cell r="G26" t="str">
            <v>A RAZÃO SOCIAL DEVE SEGUIR O MESMO PADRÃO DO CARTÃO CNPJ</v>
          </cell>
        </row>
        <row r="27">
          <cell r="A27" t="str">
            <v>LABORATÓRIO ANÁLISE CLÍNICAS - ORGÃO PÚBLICO</v>
          </cell>
          <cell r="B27" t="str">
            <v xml:space="preserve">LABORATÓRIO AC + PM CIDADE </v>
          </cell>
          <cell r="C27" t="str">
            <v>LABORATÓRIO AC PM CURITIBA</v>
          </cell>
          <cell r="D27" t="str">
            <v>A IDENTIFICAÇÃO DO ESTABELECIMENTO NÃO DEVE SER ABREVIADA. EX. INCORRETO: DIST., HOSP., ETC</v>
          </cell>
          <cell r="E27" t="str">
            <v>A RAZÃO SOCIAL DE ESTABELECIMENTOS MUNICIPAIS DEVE SER CADASTRADO COMO "Município X". NÃO USAR  "Prefeitura Municipal X".  </v>
          </cell>
          <cell r="F27" t="str">
            <v>*</v>
          </cell>
          <cell r="G27" t="str">
            <v>A RAZÃO SOCIAL DEVE SEGUIR O MESMO PADRÃO DO CARTÃO CNPJ</v>
          </cell>
        </row>
        <row r="28">
          <cell r="A28" t="str">
            <v>LABORATÓRIO ANÁLISE CLÍNICAS - PROP. LEIGO</v>
          </cell>
          <cell r="B28" t="str">
            <v>LABORATÓRIO AC + NOME FANTASIA + BAIRRO, SE NECESSÁRIO</v>
          </cell>
          <cell r="C28" t="str">
            <v>LABORATÓRIO AC UNIMED</v>
          </cell>
          <cell r="D28" t="str">
            <v>A IDENTIFICAÇÃO DO ESTABELECIMENTO NÃO DEVE SER ABREVIADA. EX. INCORRETO: DIST., HOSP., ETC</v>
          </cell>
          <cell r="E28" t="str">
            <v>*</v>
          </cell>
          <cell r="F28" t="str">
            <v>*</v>
          </cell>
          <cell r="G28" t="str">
            <v>A RAZÃO SOCIAL DEVE SEGUIR O MESMO PADRÃO DO CARTÃO CNPJ</v>
          </cell>
        </row>
        <row r="29">
          <cell r="A29" t="str">
            <v>LABORATÓRIO ANÁLISE CLÍNICAS PROP.FARMACÊUTICO</v>
          </cell>
          <cell r="B29" t="str">
            <v>LABORATÓRIO AC + NOME FANTASIA + BAIRRO, SE NECESSÁRIO</v>
          </cell>
          <cell r="C29" t="str">
            <v xml:space="preserve">LABORATÓRIO AC LANAC NAÇÕES </v>
          </cell>
          <cell r="D29" t="str">
            <v>A IDENTIFICAÇÃO DO ESTABELECIMENTO NÃO DEVE SER ABREVIADA. EX. INCORRETO: DIST., HOSP., ETC</v>
          </cell>
          <cell r="E29" t="str">
            <v>*</v>
          </cell>
          <cell r="F29" t="str">
            <v>*</v>
          </cell>
          <cell r="G29" t="str">
            <v>A RAZÃO SOCIAL DEVE SEGUIR O MESMO PADRÃO DO CARTÃO CNPJ</v>
          </cell>
        </row>
        <row r="30">
          <cell r="A30" t="str">
            <v>LABORATÓRIO DE CONTROLE QUALIDADE</v>
          </cell>
          <cell r="B30" t="str">
            <v>LABORATÓRIO CQ + NOME FANTASIA</v>
          </cell>
          <cell r="C30" t="str">
            <v>LABORATÓRIO CQ SANEPAR</v>
          </cell>
          <cell r="D30" t="str">
            <v>A IDENTIFICAÇÃO DO ESTABELECIMENTO NÃO DEVE SER ABREVIADA. EX. INCORRETO: DIST., HOSP., ETC</v>
          </cell>
          <cell r="E30" t="str">
            <v>*</v>
          </cell>
          <cell r="F30" t="str">
            <v>*</v>
          </cell>
          <cell r="G30" t="str">
            <v>A RAZÃO SOCIAL DEVE SEGUIR O MESMO PADRÃO DO CARTÃO CNPJ</v>
          </cell>
        </row>
        <row r="31">
          <cell r="A31" t="str">
            <v>OUTROS ESTABELECIMENTOS</v>
          </cell>
          <cell r="B31" t="str">
            <v>NATUREZA APROXIMADA + NOME FANTASIA</v>
          </cell>
          <cell r="C31" t="str">
            <v>CLÍNICA DE VACINA VACINALAR,              DISTRIBUIDORA ZAELI</v>
          </cell>
          <cell r="D31" t="str">
            <v>A IDENTIFICAÇÃO DO ESTABELECIMENTO NÃO DEVE SER ABREVIADA. EX. INCORRETO: DIST., HOSP., ETC</v>
          </cell>
          <cell r="E31" t="str">
            <v>*</v>
          </cell>
          <cell r="F31" t="str">
            <v>*</v>
          </cell>
          <cell r="G31" t="str">
            <v>A RAZÃO SOCIAL DEVE SEGUIR O MESMO PADRÃO DO CARTÃO CNPJ</v>
          </cell>
        </row>
        <row r="32">
          <cell r="A32" t="str">
            <v>POSTO DE COLETA</v>
          </cell>
          <cell r="B32" t="str">
            <v>POSTO DE COLETA + NOME FANTASIA + BAIRRO, SE NECESSÁRIO</v>
          </cell>
          <cell r="C32" t="str">
            <v>POSTO DE COLETA LANAC ARAUCÁRIA</v>
          </cell>
          <cell r="D32" t="str">
            <v>A IDENTIFICAÇÃO DO ESTABELECIMENTO NÃO DEVE SER ABREVIADA. EX. INCORRETO: DIST., HOSP., ETC</v>
          </cell>
          <cell r="E32" t="str">
            <v>*</v>
          </cell>
          <cell r="F32" t="str">
            <v>*</v>
          </cell>
          <cell r="G32" t="str">
            <v>A RAZÃO SOCIAL DEVE SEGUIR O MESMO PADRÃO DO CARTÃO CNPJ</v>
          </cell>
        </row>
        <row r="33">
          <cell r="A33" t="str">
            <v>POSTO DE MEDICAMENTO</v>
          </cell>
          <cell r="B33" t="str">
            <v>POSTO DE MEDICAMENTOS + NOME FANTASIA</v>
          </cell>
          <cell r="C33" t="str">
            <v>POSTO DE MEDICAMENTOS SANTO ANJO</v>
          </cell>
          <cell r="D33" t="str">
            <v>A IDENTIFICAÇÃO DO ESTABELECIMENTO NÃO DEVE SER ABREVIADA. EX. INCORRETO: DIST., HOSP., ETC</v>
          </cell>
          <cell r="E33" t="str">
            <v>*</v>
          </cell>
          <cell r="F33" t="str">
            <v>*</v>
          </cell>
          <cell r="G33" t="str">
            <v>A RAZÃO SOCIAL DEVE SEGUIR O MESMO PADRÃO DO CARTÃO CNPJ</v>
          </cell>
        </row>
        <row r="34">
          <cell r="A34" t="str">
            <v>PRESTADORA DE SERVIÇOS</v>
          </cell>
          <cell r="B34" t="str">
            <v>PRESTADORA DE SERVIÇOS + NOME FANTASIA</v>
          </cell>
          <cell r="C34" t="str">
            <v>PRESTADORA DE SERVIÇOS XXXXX</v>
          </cell>
          <cell r="D34" t="str">
            <v>A IDENTIFICAÇÃO DO ESTABELECIMENTO NÃO DEVE SER ABREVIADA. EX. INCORRETO: DIST., HOSP., ETC</v>
          </cell>
          <cell r="E34" t="str">
            <v>*</v>
          </cell>
          <cell r="F34" t="str">
            <v>*</v>
          </cell>
          <cell r="G34" t="str">
            <v>A RAZÃO SOCIAL DEVE SEGUIR O MESMO PADRÃO DO CARTÃO CNPJ</v>
          </cell>
        </row>
        <row r="35">
          <cell r="A35" t="str">
            <v>SERVIÇOS EM SAÚDE E ESTÉTICA</v>
          </cell>
          <cell r="B35" t="str">
            <v>CLÍNICA DE ESTÉTICA + NOME FANTASIA</v>
          </cell>
          <cell r="C35" t="str">
            <v>CLÍNICA DE ESTÉTICA BELLE</v>
          </cell>
          <cell r="D35" t="str">
            <v>A IDENTIFICAÇÃO DO ESTABELECIMENTO NÃO DEVE SER ABREVIADA. EX. INCORRETO: DIST., HOSP., ETC</v>
          </cell>
          <cell r="E35" t="str">
            <v>*</v>
          </cell>
          <cell r="F35" t="str">
            <v>*</v>
          </cell>
          <cell r="G35" t="str">
            <v>A RAZÃO SOCIAL DEVE SEGUIR O MESMO PADRÃO DO CARTÃO CNPJ</v>
          </cell>
        </row>
        <row r="36">
          <cell r="A36" t="str">
            <v>TRANSPORTADORA</v>
          </cell>
          <cell r="B36" t="str">
            <v>TRANSPORTADORA + NOME FANTASIA</v>
          </cell>
          <cell r="C36" t="str">
            <v>TRANSPORTADORA MULTILOG</v>
          </cell>
          <cell r="D36" t="str">
            <v>A IDENTIFICAÇÃO DO ESTABELECIMENTO NÃO DEVE SER ABREVIADA. EX. INCORRETO: DIST., HOSP., ETC</v>
          </cell>
          <cell r="E36" t="str">
            <v>*</v>
          </cell>
          <cell r="F36" t="str">
            <v>*</v>
          </cell>
          <cell r="G36" t="str">
            <v>A RAZÃO SOCIAL DEVE SEGUIR O MESMO PADRÃO DO CARTÃO CNPJ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anvisalegis.datalegis.net/action/ActionDatalegis.php?acao=abrirTextoAto&amp;link=S&amp;tipo=RDC&amp;numeroAto=00000406&amp;seqAto=000&amp;valorAno=2020&amp;orgao=RDC/DC/ANVISA/MS&amp;cod_modulo=310&amp;cod_menu=8542" TargetMode="External"/><Relationship Id="rId13" Type="http://schemas.openxmlformats.org/officeDocument/2006/relationships/hyperlink" Target="https://saude.curitiba.pr.gov.br/images/Resolu%C3%A7%C3%A3o%20n%C2%BA%2002%20-%202018%20-%20Disp%C3%B5e%20sobre%20processo%20de%20licenciamento%20sanit%C3%A1rio.pdf" TargetMode="External"/><Relationship Id="rId18" Type="http://schemas.openxmlformats.org/officeDocument/2006/relationships/hyperlink" Target="https://www.crf-pr.org.br/deliberacao?DeliberacaoSearch%5Bq%5D=dap&amp;DeliberacaoSearch%5Bq%5D=dap&amp;DeliberacaoSearch%5Bq%5D=declara%C3%A7%C3%A3o+de+atividades&amp;DeliberacaoSearch%5Bq%5D=atividades&amp;DeliberacaoSearch%5Bq%5D=2024&amp;DeliberacaoSearch%5Bq%5D=2025&amp;DeliberacaoSearch%5Bq%5D=DAP&amp;DeliberacaoSearch%5Bq%5D=" TargetMode="External"/><Relationship Id="rId3" Type="http://schemas.openxmlformats.org/officeDocument/2006/relationships/hyperlink" Target="https://cfq.org.br/wp-content/uploads/2018/12/Resolu%C3%A7%C3%A3o-Normativa-n%C2%BA-224-de-18-de-dezembro-de-2009.pdf" TargetMode="External"/><Relationship Id="rId21" Type="http://schemas.openxmlformats.org/officeDocument/2006/relationships/hyperlink" Target="https://www.legisweb.com.br/legislacao/?id=483743" TargetMode="External"/><Relationship Id="rId7" Type="http://schemas.openxmlformats.org/officeDocument/2006/relationships/hyperlink" Target="https://anvisalegis.datalegis.net/action/ActionDatalegis.php?acao=abrirTextoAto&amp;link=S&amp;tipo=RDC&amp;numeroAto=00000887&amp;seqAto=000&amp;valorAno=2024&amp;orgao=RDC/DC/ANVISA/MS&amp;cod_modulo=310&amp;cod_menu=9431" TargetMode="External"/><Relationship Id="rId12" Type="http://schemas.openxmlformats.org/officeDocument/2006/relationships/hyperlink" Target="https://sindusfarma.org.br/uploads/files/8e1f-diego-silva/2021/Boletim/049/file.pdf" TargetMode="External"/><Relationship Id="rId17" Type="http://schemas.openxmlformats.org/officeDocument/2006/relationships/hyperlink" Target="https://www.crf-pr.org.br/documento/index?DocumentoSearch%5Bid_documento_categoria%5D=19" TargetMode="External"/><Relationship Id="rId2" Type="http://schemas.openxmlformats.org/officeDocument/2006/relationships/hyperlink" Target="https://www.jusbrasil.com.br/noticias/sumula-413-do-stj-trata-de-direito-sanitario/2033085" TargetMode="External"/><Relationship Id="rId16" Type="http://schemas.openxmlformats.org/officeDocument/2006/relationships/hyperlink" Target="https://www.crf-pr.org.br/uploads/deliberacao/1540/FLztPfIOFS_FOoTL6YlTowb16l4aPTEj.pdf" TargetMode="External"/><Relationship Id="rId20" Type="http://schemas.openxmlformats.org/officeDocument/2006/relationships/hyperlink" Target="https://cff-br.implanta.net.br/f7fc2658-2c2c-447b-a66a-071c15782cf3" TargetMode="External"/><Relationship Id="rId1" Type="http://schemas.openxmlformats.org/officeDocument/2006/relationships/hyperlink" Target="https://bvsms.saude.gov.br/bvs/saudelegis/anvisa/2009/rdc0044_17_08_2009.pdf" TargetMode="External"/><Relationship Id="rId6" Type="http://schemas.openxmlformats.org/officeDocument/2006/relationships/hyperlink" Target="https://www.legisweb.com.br/legislacao/?id=487277" TargetMode="External"/><Relationship Id="rId11" Type="http://schemas.openxmlformats.org/officeDocument/2006/relationships/hyperlink" Target="https://www.legisweb.com.br/legislacao/?id=410234" TargetMode="External"/><Relationship Id="rId5" Type="http://schemas.openxmlformats.org/officeDocument/2006/relationships/hyperlink" Target="https://www.planalto.gov.br/ccivil_03/decreto/antigos/d85878.htm" TargetMode="External"/><Relationship Id="rId15" Type="http://schemas.openxmlformats.org/officeDocument/2006/relationships/hyperlink" Target="https://www.planalto.gov.br/ccivil_03/_Ato2004-2006/2004/Decreto/D5053.htm" TargetMode="External"/><Relationship Id="rId10" Type="http://schemas.openxmlformats.org/officeDocument/2006/relationships/hyperlink" Target="https://www.in.gov.br/en/web/dou/-/resolucao-n-724-de-29-de-abril-de-2022-402116878" TargetMode="External"/><Relationship Id="rId19" Type="http://schemas.openxmlformats.org/officeDocument/2006/relationships/hyperlink" Target="https://www.saude.pr.gov.br/sites/default/arquivos_restritos/files/documento/2020-05/resolucao5902014.pdf" TargetMode="External"/><Relationship Id="rId4" Type="http://schemas.openxmlformats.org/officeDocument/2006/relationships/hyperlink" Target="https://www.legisweb.com.br/legislacao/?id=464410" TargetMode="External"/><Relationship Id="rId9" Type="http://schemas.openxmlformats.org/officeDocument/2006/relationships/hyperlink" Target="https://www.in.gov.br/en/web/dou/-/resolucao-da-diretoria-colegiada-anvisa-rdc-n-870-de-17-de-maio-de-2024-560756228" TargetMode="External"/><Relationship Id="rId14" Type="http://schemas.openxmlformats.org/officeDocument/2006/relationships/hyperlink" Target="https://www.planalto.gov.br/ccivil_03/_Ato2015-2018/2015/Decreto/D8448.ht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2756D-C9D2-4662-8F17-0ECFC00BA813}">
  <sheetPr codeName="Planilha2"/>
  <dimension ref="A2:E57"/>
  <sheetViews>
    <sheetView topLeftCell="A43" workbookViewId="0">
      <selection activeCell="C19" sqref="C19"/>
    </sheetView>
  </sheetViews>
  <sheetFormatPr defaultRowHeight="15" customHeight="1" x14ac:dyDescent="0.2"/>
  <cols>
    <col min="1" max="1" width="63.7109375" style="5" bestFit="1" customWidth="1"/>
    <col min="2" max="2" width="9.140625" style="5"/>
    <col min="3" max="3" width="28.140625" style="5" bestFit="1" customWidth="1"/>
    <col min="4" max="4" width="9.140625" style="5"/>
    <col min="5" max="5" width="40.42578125" style="5" bestFit="1" customWidth="1"/>
    <col min="6" max="16384" width="9.140625" style="5"/>
  </cols>
  <sheetData>
    <row r="2" spans="1:5" ht="15" customHeight="1" x14ac:dyDescent="0.2">
      <c r="A2" s="1" t="s">
        <v>4</v>
      </c>
      <c r="C2" s="3" t="s">
        <v>37</v>
      </c>
      <c r="E2" s="5" t="s">
        <v>352</v>
      </c>
    </row>
    <row r="3" spans="1:5" ht="15" customHeight="1" x14ac:dyDescent="0.2">
      <c r="A3" s="1" t="s">
        <v>5</v>
      </c>
      <c r="C3" s="3" t="s">
        <v>38</v>
      </c>
      <c r="E3" s="5" t="s">
        <v>353</v>
      </c>
    </row>
    <row r="4" spans="1:5" ht="15" customHeight="1" x14ac:dyDescent="0.2">
      <c r="A4" s="2" t="s">
        <v>6</v>
      </c>
      <c r="C4" s="3" t="s">
        <v>39</v>
      </c>
      <c r="E4" s="5" t="s">
        <v>309</v>
      </c>
    </row>
    <row r="5" spans="1:5" ht="15" customHeight="1" x14ac:dyDescent="0.2">
      <c r="A5" s="2" t="s">
        <v>7</v>
      </c>
      <c r="C5" s="3" t="s">
        <v>40</v>
      </c>
      <c r="E5" s="5" t="s">
        <v>310</v>
      </c>
    </row>
    <row r="6" spans="1:5" ht="15" customHeight="1" x14ac:dyDescent="0.2">
      <c r="A6" s="2" t="s">
        <v>8</v>
      </c>
      <c r="C6" s="3" t="s">
        <v>41</v>
      </c>
      <c r="E6" s="5" t="s">
        <v>311</v>
      </c>
    </row>
    <row r="7" spans="1:5" ht="15" customHeight="1" x14ac:dyDescent="0.2">
      <c r="A7" s="2" t="s">
        <v>9</v>
      </c>
      <c r="C7" s="3" t="s">
        <v>42</v>
      </c>
      <c r="E7" s="5" t="s">
        <v>312</v>
      </c>
    </row>
    <row r="8" spans="1:5" ht="15" customHeight="1" x14ac:dyDescent="0.2">
      <c r="A8" s="1" t="s">
        <v>10</v>
      </c>
      <c r="C8" s="3" t="s">
        <v>43</v>
      </c>
      <c r="E8" s="5" t="s">
        <v>173</v>
      </c>
    </row>
    <row r="9" spans="1:5" ht="15" customHeight="1" x14ac:dyDescent="0.2">
      <c r="A9" s="2" t="s">
        <v>11</v>
      </c>
      <c r="C9" s="3" t="s">
        <v>44</v>
      </c>
      <c r="E9" s="5" t="s">
        <v>177</v>
      </c>
    </row>
    <row r="10" spans="1:5" ht="15" customHeight="1" x14ac:dyDescent="0.2">
      <c r="A10" s="2" t="s">
        <v>12</v>
      </c>
      <c r="C10" s="3" t="s">
        <v>45</v>
      </c>
      <c r="E10" s="5" t="s">
        <v>313</v>
      </c>
    </row>
    <row r="11" spans="1:5" ht="15" customHeight="1" x14ac:dyDescent="0.2">
      <c r="A11" s="1" t="s">
        <v>13</v>
      </c>
      <c r="C11" s="3" t="s">
        <v>46</v>
      </c>
      <c r="E11" s="5" t="s">
        <v>314</v>
      </c>
    </row>
    <row r="12" spans="1:5" ht="15" customHeight="1" x14ac:dyDescent="0.2">
      <c r="A12" s="1" t="s">
        <v>14</v>
      </c>
      <c r="C12" s="3" t="s">
        <v>120</v>
      </c>
      <c r="E12" s="5" t="s">
        <v>180</v>
      </c>
    </row>
    <row r="13" spans="1:5" ht="15" customHeight="1" x14ac:dyDescent="0.2">
      <c r="A13" s="2" t="s">
        <v>15</v>
      </c>
      <c r="C13" s="5" t="s">
        <v>358</v>
      </c>
      <c r="E13" s="5" t="s">
        <v>315</v>
      </c>
    </row>
    <row r="14" spans="1:5" ht="15" customHeight="1" x14ac:dyDescent="0.2">
      <c r="A14" s="2" t="s">
        <v>2</v>
      </c>
      <c r="C14" s="5" t="s">
        <v>359</v>
      </c>
      <c r="E14" s="5" t="s">
        <v>316</v>
      </c>
    </row>
    <row r="15" spans="1:5" ht="15" customHeight="1" x14ac:dyDescent="0.2">
      <c r="A15" s="3" t="s">
        <v>16</v>
      </c>
      <c r="C15" s="5" t="s">
        <v>48</v>
      </c>
      <c r="E15" s="5" t="s">
        <v>317</v>
      </c>
    </row>
    <row r="16" spans="1:5" ht="15" customHeight="1" x14ac:dyDescent="0.2">
      <c r="A16" s="3" t="s">
        <v>308</v>
      </c>
      <c r="C16" s="5" t="s">
        <v>360</v>
      </c>
      <c r="E16" s="5" t="s">
        <v>318</v>
      </c>
    </row>
    <row r="17" spans="1:5" ht="15" customHeight="1" x14ac:dyDescent="0.2">
      <c r="A17" s="1" t="s">
        <v>17</v>
      </c>
      <c r="E17" s="5" t="s">
        <v>319</v>
      </c>
    </row>
    <row r="18" spans="1:5" ht="15" customHeight="1" x14ac:dyDescent="0.2">
      <c r="A18" s="2" t="s">
        <v>18</v>
      </c>
      <c r="E18" s="5" t="s">
        <v>320</v>
      </c>
    </row>
    <row r="19" spans="1:5" ht="15" customHeight="1" x14ac:dyDescent="0.2">
      <c r="A19" s="1" t="s">
        <v>19</v>
      </c>
      <c r="E19" s="5" t="s">
        <v>185</v>
      </c>
    </row>
    <row r="20" spans="1:5" ht="15" customHeight="1" x14ac:dyDescent="0.2">
      <c r="A20" s="1" t="s">
        <v>20</v>
      </c>
      <c r="E20" s="5" t="s">
        <v>321</v>
      </c>
    </row>
    <row r="21" spans="1:5" ht="15" customHeight="1" x14ac:dyDescent="0.2">
      <c r="A21" s="1" t="s">
        <v>21</v>
      </c>
      <c r="E21" s="5" t="s">
        <v>186</v>
      </c>
    </row>
    <row r="22" spans="1:5" ht="15" customHeight="1" x14ac:dyDescent="0.2">
      <c r="A22" s="1" t="s">
        <v>22</v>
      </c>
      <c r="E22" s="5" t="s">
        <v>322</v>
      </c>
    </row>
    <row r="23" spans="1:5" ht="15" customHeight="1" x14ac:dyDescent="0.2">
      <c r="A23" s="1" t="s">
        <v>23</v>
      </c>
      <c r="E23" s="5" t="s">
        <v>323</v>
      </c>
    </row>
    <row r="24" spans="1:5" ht="15" customHeight="1" x14ac:dyDescent="0.2">
      <c r="A24" s="1" t="s">
        <v>24</v>
      </c>
      <c r="E24" s="5" t="s">
        <v>324</v>
      </c>
    </row>
    <row r="25" spans="1:5" ht="15" customHeight="1" x14ac:dyDescent="0.2">
      <c r="A25" s="1" t="s">
        <v>25</v>
      </c>
      <c r="E25" s="5" t="s">
        <v>325</v>
      </c>
    </row>
    <row r="26" spans="1:5" ht="15" customHeight="1" x14ac:dyDescent="0.2">
      <c r="A26" s="1" t="s">
        <v>26</v>
      </c>
      <c r="E26" s="5" t="s">
        <v>326</v>
      </c>
    </row>
    <row r="27" spans="1:5" ht="15" customHeight="1" x14ac:dyDescent="0.2">
      <c r="A27" s="1" t="s">
        <v>27</v>
      </c>
      <c r="E27" s="5" t="s">
        <v>327</v>
      </c>
    </row>
    <row r="28" spans="1:5" ht="15" customHeight="1" x14ac:dyDescent="0.2">
      <c r="A28" s="1" t="s">
        <v>28</v>
      </c>
      <c r="E28" s="5" t="s">
        <v>328</v>
      </c>
    </row>
    <row r="29" spans="1:5" ht="15" customHeight="1" x14ac:dyDescent="0.2">
      <c r="A29" s="1" t="s">
        <v>29</v>
      </c>
      <c r="E29" s="5" t="s">
        <v>329</v>
      </c>
    </row>
    <row r="30" spans="1:5" ht="15" customHeight="1" x14ac:dyDescent="0.2">
      <c r="A30" s="2" t="s">
        <v>30</v>
      </c>
      <c r="E30" s="5" t="s">
        <v>330</v>
      </c>
    </row>
    <row r="31" spans="1:5" ht="15" customHeight="1" x14ac:dyDescent="0.2">
      <c r="A31" s="2" t="s">
        <v>31</v>
      </c>
      <c r="E31" s="5" t="s">
        <v>331</v>
      </c>
    </row>
    <row r="32" spans="1:5" ht="15" customHeight="1" x14ac:dyDescent="0.2">
      <c r="A32" s="2" t="s">
        <v>32</v>
      </c>
      <c r="E32" s="5" t="s">
        <v>332</v>
      </c>
    </row>
    <row r="33" spans="1:5" ht="15" customHeight="1" x14ac:dyDescent="0.2">
      <c r="A33" s="4" t="s">
        <v>33</v>
      </c>
      <c r="E33" s="5" t="s">
        <v>333</v>
      </c>
    </row>
    <row r="34" spans="1:5" ht="15" customHeight="1" x14ac:dyDescent="0.2">
      <c r="A34" s="4" t="s">
        <v>34</v>
      </c>
      <c r="E34" s="5" t="s">
        <v>334</v>
      </c>
    </row>
    <row r="35" spans="1:5" ht="15" customHeight="1" x14ac:dyDescent="0.2">
      <c r="A35" s="4" t="s">
        <v>35</v>
      </c>
      <c r="E35" s="5" t="s">
        <v>335</v>
      </c>
    </row>
    <row r="36" spans="1:5" ht="15" customHeight="1" x14ac:dyDescent="0.2">
      <c r="A36" s="4" t="s">
        <v>36</v>
      </c>
      <c r="E36" s="5" t="s">
        <v>336</v>
      </c>
    </row>
    <row r="37" spans="1:5" ht="15" customHeight="1" x14ac:dyDescent="0.2">
      <c r="E37" s="5" t="s">
        <v>337</v>
      </c>
    </row>
    <row r="38" spans="1:5" ht="15" customHeight="1" x14ac:dyDescent="0.2">
      <c r="E38" s="5" t="s">
        <v>338</v>
      </c>
    </row>
    <row r="39" spans="1:5" ht="15" customHeight="1" x14ac:dyDescent="0.2">
      <c r="E39" s="5" t="s">
        <v>339</v>
      </c>
    </row>
    <row r="40" spans="1:5" ht="15" customHeight="1" x14ac:dyDescent="0.2">
      <c r="E40" s="5" t="s">
        <v>340</v>
      </c>
    </row>
    <row r="41" spans="1:5" ht="15" customHeight="1" x14ac:dyDescent="0.2">
      <c r="E41" s="5" t="s">
        <v>341</v>
      </c>
    </row>
    <row r="42" spans="1:5" ht="15" customHeight="1" x14ac:dyDescent="0.2">
      <c r="E42" s="5" t="s">
        <v>342</v>
      </c>
    </row>
    <row r="43" spans="1:5" ht="15" customHeight="1" x14ac:dyDescent="0.2">
      <c r="E43" s="5" t="s">
        <v>343</v>
      </c>
    </row>
    <row r="44" spans="1:5" ht="15" customHeight="1" x14ac:dyDescent="0.2">
      <c r="E44" s="5" t="s">
        <v>344</v>
      </c>
    </row>
    <row r="45" spans="1:5" ht="15" customHeight="1" x14ac:dyDescent="0.2">
      <c r="E45" s="5" t="s">
        <v>345</v>
      </c>
    </row>
    <row r="46" spans="1:5" ht="15" customHeight="1" x14ac:dyDescent="0.2">
      <c r="E46" s="5" t="s">
        <v>216</v>
      </c>
    </row>
    <row r="47" spans="1:5" ht="15" customHeight="1" x14ac:dyDescent="0.2">
      <c r="E47" s="5" t="s">
        <v>217</v>
      </c>
    </row>
    <row r="48" spans="1:5" ht="15" customHeight="1" x14ac:dyDescent="0.2">
      <c r="E48" s="5" t="s">
        <v>346</v>
      </c>
    </row>
    <row r="49" spans="5:5" ht="15" customHeight="1" x14ac:dyDescent="0.2">
      <c r="E49" s="5" t="s">
        <v>347</v>
      </c>
    </row>
    <row r="50" spans="5:5" ht="15" customHeight="1" x14ac:dyDescent="0.2">
      <c r="E50" s="5" t="s">
        <v>348</v>
      </c>
    </row>
    <row r="51" spans="5:5" ht="15" customHeight="1" x14ac:dyDescent="0.2">
      <c r="E51" s="5" t="s">
        <v>349</v>
      </c>
    </row>
    <row r="52" spans="5:5" ht="15" customHeight="1" x14ac:dyDescent="0.2">
      <c r="E52" s="5" t="s">
        <v>220</v>
      </c>
    </row>
    <row r="53" spans="5:5" ht="15" customHeight="1" x14ac:dyDescent="0.2">
      <c r="E53" s="5" t="s">
        <v>221</v>
      </c>
    </row>
    <row r="54" spans="5:5" ht="15" customHeight="1" x14ac:dyDescent="0.2">
      <c r="E54" s="5" t="s">
        <v>222</v>
      </c>
    </row>
    <row r="55" spans="5:5" ht="15" customHeight="1" x14ac:dyDescent="0.2">
      <c r="E55" s="5" t="s">
        <v>350</v>
      </c>
    </row>
    <row r="56" spans="5:5" ht="15" customHeight="1" x14ac:dyDescent="0.2">
      <c r="E56" s="5" t="s">
        <v>351</v>
      </c>
    </row>
    <row r="57" spans="5:5" ht="15" customHeight="1" x14ac:dyDescent="0.2">
      <c r="E57" s="5" t="s">
        <v>224</v>
      </c>
    </row>
  </sheetData>
  <sheetProtection algorithmName="SHA-512" hashValue="LQsiRYA/biGsqxsFLmrIC9QuNm8KAaZwakXWj3AF8QpDejCIxUsgcUnCVFdZ33tNHTyHm3lvhJUejf5GFCoSGw==" saltValue="ViFo2bq6USm0SmbYfp8Gwg==" spinCount="100000" sheet="1" objects="1" scenarios="1" selectLockedCells="1" selectUnlockedCells="1"/>
  <sortState xmlns:xlrd2="http://schemas.microsoft.com/office/spreadsheetml/2017/richdata2" ref="E4:E57">
    <sortCondition ref="E4:E57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BC33-88AB-41D0-AC0F-83F1AAE09BA9}">
  <sheetPr codeName="Planilha3"/>
  <dimension ref="A1:H234"/>
  <sheetViews>
    <sheetView showGridLines="0" zoomScaleNormal="100" workbookViewId="0">
      <pane ySplit="1" topLeftCell="A2" activePane="bottomLeft" state="frozen"/>
      <selection pane="bottomLeft" activeCell="H6" sqref="H6"/>
    </sheetView>
  </sheetViews>
  <sheetFormatPr defaultColWidth="0" defaultRowHeight="15" x14ac:dyDescent="0.25"/>
  <cols>
    <col min="1" max="1" width="15.5703125" style="40" customWidth="1"/>
    <col min="2" max="2" width="11.42578125" style="41" customWidth="1"/>
    <col min="3" max="3" width="12.7109375" style="40" customWidth="1"/>
    <col min="4" max="4" width="15" style="40" customWidth="1"/>
    <col min="5" max="5" width="9.5703125" style="41" customWidth="1"/>
    <col min="6" max="6" width="38.7109375" style="40" customWidth="1"/>
    <col min="7" max="7" width="66.7109375" style="40" customWidth="1"/>
    <col min="8" max="8" width="72.85546875" style="40" customWidth="1"/>
    <col min="9" max="16384" width="9.140625" style="40" hidden="1"/>
  </cols>
  <sheetData>
    <row r="1" spans="1:8" s="124" customFormat="1" ht="16.5" thickBot="1" x14ac:dyDescent="0.3">
      <c r="A1" s="121" t="s">
        <v>0</v>
      </c>
      <c r="B1" s="122" t="s">
        <v>356</v>
      </c>
      <c r="C1" s="122" t="s">
        <v>1</v>
      </c>
      <c r="D1" s="122" t="s">
        <v>354</v>
      </c>
      <c r="E1" s="122" t="s">
        <v>357</v>
      </c>
      <c r="F1" s="122" t="s">
        <v>355</v>
      </c>
      <c r="G1" s="122" t="s">
        <v>47</v>
      </c>
      <c r="H1" s="123" t="s">
        <v>3</v>
      </c>
    </row>
    <row r="2" spans="1:8" ht="15" customHeight="1" x14ac:dyDescent="0.25">
      <c r="C2" s="42"/>
    </row>
    <row r="3" spans="1:8" ht="15" customHeight="1" x14ac:dyDescent="0.25">
      <c r="C3" s="42"/>
    </row>
    <row r="4" spans="1:8" ht="15" customHeight="1" x14ac:dyDescent="0.25">
      <c r="C4" s="42"/>
    </row>
    <row r="5" spans="1:8" ht="15" customHeight="1" x14ac:dyDescent="0.25">
      <c r="C5" s="42"/>
    </row>
    <row r="6" spans="1:8" ht="15" customHeight="1" x14ac:dyDescent="0.25">
      <c r="C6" s="42"/>
    </row>
    <row r="7" spans="1:8" ht="15" customHeight="1" x14ac:dyDescent="0.25">
      <c r="C7" s="42"/>
    </row>
    <row r="8" spans="1:8" ht="15" customHeight="1" x14ac:dyDescent="0.25">
      <c r="C8" s="42"/>
    </row>
    <row r="9" spans="1:8" ht="15" customHeight="1" x14ac:dyDescent="0.25">
      <c r="C9" s="42"/>
    </row>
    <row r="10" spans="1:8" ht="15" customHeight="1" x14ac:dyDescent="0.25">
      <c r="C10" s="42"/>
    </row>
    <row r="11" spans="1:8" ht="15" customHeight="1" x14ac:dyDescent="0.25">
      <c r="C11" s="42"/>
    </row>
    <row r="12" spans="1:8" ht="15" customHeight="1" x14ac:dyDescent="0.25">
      <c r="C12" s="42"/>
    </row>
    <row r="13" spans="1:8" ht="15" customHeight="1" x14ac:dyDescent="0.25">
      <c r="C13" s="42"/>
    </row>
    <row r="14" spans="1:8" ht="15" customHeight="1" x14ac:dyDescent="0.25">
      <c r="C14" s="42"/>
    </row>
    <row r="15" spans="1:8" ht="15" customHeight="1" x14ac:dyDescent="0.25">
      <c r="C15" s="42"/>
    </row>
    <row r="16" spans="1:8" ht="15" customHeight="1" x14ac:dyDescent="0.25">
      <c r="C16" s="42"/>
    </row>
    <row r="17" spans="2:8" ht="15" customHeight="1" x14ac:dyDescent="0.25">
      <c r="C17" s="42"/>
    </row>
    <row r="18" spans="2:8" ht="15" customHeight="1" x14ac:dyDescent="0.25">
      <c r="B18" s="46"/>
      <c r="C18" s="47"/>
      <c r="D18" s="43"/>
      <c r="E18" s="46"/>
      <c r="F18" s="43"/>
      <c r="G18" s="43"/>
      <c r="H18" s="43"/>
    </row>
    <row r="19" spans="2:8" ht="15" customHeight="1" x14ac:dyDescent="0.25">
      <c r="C19" s="42"/>
    </row>
    <row r="20" spans="2:8" ht="15" customHeight="1" x14ac:dyDescent="0.25">
      <c r="C20" s="42"/>
    </row>
    <row r="21" spans="2:8" ht="15" customHeight="1" x14ac:dyDescent="0.25">
      <c r="C21" s="42"/>
    </row>
    <row r="22" spans="2:8" ht="15" customHeight="1" x14ac:dyDescent="0.25">
      <c r="C22" s="42"/>
    </row>
    <row r="23" spans="2:8" ht="15" customHeight="1" x14ac:dyDescent="0.25">
      <c r="C23" s="42"/>
    </row>
    <row r="24" spans="2:8" ht="15" customHeight="1" x14ac:dyDescent="0.25">
      <c r="C24" s="42"/>
    </row>
    <row r="25" spans="2:8" ht="15" customHeight="1" x14ac:dyDescent="0.25">
      <c r="C25" s="42"/>
    </row>
    <row r="26" spans="2:8" ht="15" customHeight="1" x14ac:dyDescent="0.25">
      <c r="C26" s="42"/>
    </row>
    <row r="27" spans="2:8" ht="15" customHeight="1" x14ac:dyDescent="0.25">
      <c r="C27" s="42"/>
    </row>
    <row r="28" spans="2:8" ht="15" customHeight="1" x14ac:dyDescent="0.25">
      <c r="C28" s="42"/>
    </row>
    <row r="29" spans="2:8" ht="15" customHeight="1" x14ac:dyDescent="0.25">
      <c r="C29" s="42"/>
    </row>
    <row r="30" spans="2:8" ht="15" customHeight="1" x14ac:dyDescent="0.25">
      <c r="C30" s="42"/>
    </row>
    <row r="31" spans="2:8" ht="15" customHeight="1" x14ac:dyDescent="0.25">
      <c r="C31" s="42"/>
    </row>
    <row r="32" spans="2:8" ht="15" customHeight="1" x14ac:dyDescent="0.25">
      <c r="C32" s="42"/>
    </row>
    <row r="33" spans="3:3" ht="15" customHeight="1" x14ac:dyDescent="0.25">
      <c r="C33" s="42"/>
    </row>
    <row r="34" spans="3:3" ht="15" customHeight="1" x14ac:dyDescent="0.25">
      <c r="C34" s="42"/>
    </row>
    <row r="35" spans="3:3" x14ac:dyDescent="0.25">
      <c r="C35" s="42"/>
    </row>
    <row r="36" spans="3:3" x14ac:dyDescent="0.25">
      <c r="C36" s="42"/>
    </row>
    <row r="37" spans="3:3" x14ac:dyDescent="0.25">
      <c r="C37" s="42"/>
    </row>
    <row r="38" spans="3:3" x14ac:dyDescent="0.25">
      <c r="C38" s="42"/>
    </row>
    <row r="39" spans="3:3" x14ac:dyDescent="0.25">
      <c r="C39" s="42"/>
    </row>
    <row r="40" spans="3:3" x14ac:dyDescent="0.25">
      <c r="C40" s="42"/>
    </row>
    <row r="41" spans="3:3" x14ac:dyDescent="0.25">
      <c r="C41" s="42"/>
    </row>
    <row r="42" spans="3:3" x14ac:dyDescent="0.25">
      <c r="C42" s="42"/>
    </row>
    <row r="43" spans="3:3" x14ac:dyDescent="0.25">
      <c r="C43" s="42"/>
    </row>
    <row r="44" spans="3:3" x14ac:dyDescent="0.25">
      <c r="C44" s="42"/>
    </row>
    <row r="45" spans="3:3" x14ac:dyDescent="0.25">
      <c r="C45" s="42"/>
    </row>
    <row r="46" spans="3:3" x14ac:dyDescent="0.25">
      <c r="C46" s="42"/>
    </row>
    <row r="47" spans="3:3" x14ac:dyDescent="0.25">
      <c r="C47" s="42"/>
    </row>
    <row r="48" spans="3:3" x14ac:dyDescent="0.25">
      <c r="C48" s="42"/>
    </row>
    <row r="49" spans="2:7" x14ac:dyDescent="0.25">
      <c r="C49" s="42"/>
      <c r="G49" s="43"/>
    </row>
    <row r="50" spans="2:7" x14ac:dyDescent="0.25">
      <c r="C50" s="42"/>
    </row>
    <row r="51" spans="2:7" x14ac:dyDescent="0.25">
      <c r="B51" s="39"/>
      <c r="C51" s="42"/>
      <c r="F51"/>
    </row>
    <row r="52" spans="2:7" x14ac:dyDescent="0.25">
      <c r="B52" s="39"/>
      <c r="C52" s="42"/>
    </row>
    <row r="53" spans="2:7" x14ac:dyDescent="0.25">
      <c r="B53" s="39"/>
      <c r="C53" s="42"/>
      <c r="F53"/>
    </row>
    <row r="54" spans="2:7" x14ac:dyDescent="0.25">
      <c r="B54" s="39"/>
      <c r="C54" s="42"/>
      <c r="F54" s="45"/>
    </row>
    <row r="55" spans="2:7" x14ac:dyDescent="0.25">
      <c r="B55" s="39"/>
      <c r="C55" s="42"/>
      <c r="F55"/>
    </row>
    <row r="56" spans="2:7" x14ac:dyDescent="0.25">
      <c r="B56" s="39"/>
      <c r="C56" s="42"/>
      <c r="F56"/>
    </row>
    <row r="57" spans="2:7" x14ac:dyDescent="0.25">
      <c r="B57" s="39"/>
      <c r="C57" s="42"/>
      <c r="F57"/>
    </row>
    <row r="58" spans="2:7" x14ac:dyDescent="0.25">
      <c r="C58" s="42"/>
    </row>
    <row r="59" spans="2:7" x14ac:dyDescent="0.25">
      <c r="C59" s="42"/>
    </row>
    <row r="60" spans="2:7" ht="15" customHeight="1" x14ac:dyDescent="0.25">
      <c r="C60" s="42"/>
    </row>
    <row r="61" spans="2:7" x14ac:dyDescent="0.25">
      <c r="B61" s="39"/>
      <c r="C61" s="42"/>
    </row>
    <row r="62" spans="2:7" x14ac:dyDescent="0.25">
      <c r="B62" s="39"/>
      <c r="C62" s="42"/>
    </row>
    <row r="63" spans="2:7" x14ac:dyDescent="0.25">
      <c r="B63" s="39"/>
      <c r="C63" s="42"/>
      <c r="F63" s="45"/>
    </row>
    <row r="64" spans="2:7" x14ac:dyDescent="0.25">
      <c r="B64" s="39"/>
      <c r="C64" s="42"/>
      <c r="F64"/>
    </row>
    <row r="65" spans="2:6" x14ac:dyDescent="0.25">
      <c r="B65" s="39"/>
      <c r="C65" s="42"/>
      <c r="F65" s="45"/>
    </row>
    <row r="66" spans="2:6" x14ac:dyDescent="0.25">
      <c r="B66" s="39"/>
      <c r="C66" s="42"/>
    </row>
    <row r="67" spans="2:6" x14ac:dyDescent="0.25">
      <c r="B67" s="39"/>
      <c r="C67" s="42"/>
      <c r="F67"/>
    </row>
    <row r="68" spans="2:6" x14ac:dyDescent="0.25">
      <c r="B68" s="39"/>
      <c r="C68" s="42"/>
    </row>
    <row r="69" spans="2:6" x14ac:dyDescent="0.25">
      <c r="B69" s="44"/>
      <c r="C69" s="42"/>
      <c r="F69" s="45"/>
    </row>
    <row r="70" spans="2:6" x14ac:dyDescent="0.25">
      <c r="B70" s="44"/>
      <c r="C70" s="42"/>
      <c r="F70" s="45"/>
    </row>
    <row r="71" spans="2:6" x14ac:dyDescent="0.25">
      <c r="B71" s="44"/>
      <c r="C71" s="42"/>
      <c r="F71"/>
    </row>
    <row r="72" spans="2:6" x14ac:dyDescent="0.25">
      <c r="C72" s="42"/>
    </row>
    <row r="73" spans="2:6" x14ac:dyDescent="0.25">
      <c r="B73" s="44"/>
      <c r="C73" s="42"/>
    </row>
    <row r="74" spans="2:6" x14ac:dyDescent="0.25">
      <c r="B74" s="39"/>
      <c r="C74" s="42"/>
    </row>
    <row r="75" spans="2:6" x14ac:dyDescent="0.25">
      <c r="B75" s="39"/>
      <c r="C75" s="42"/>
      <c r="F75"/>
    </row>
    <row r="76" spans="2:6" x14ac:dyDescent="0.25">
      <c r="C76" s="42"/>
    </row>
    <row r="77" spans="2:6" x14ac:dyDescent="0.25">
      <c r="B77" s="44"/>
      <c r="C77" s="42"/>
      <c r="F77" s="45"/>
    </row>
    <row r="78" spans="2:6" x14ac:dyDescent="0.25">
      <c r="B78" s="48"/>
      <c r="C78" s="42"/>
      <c r="F78"/>
    </row>
    <row r="79" spans="2:6" x14ac:dyDescent="0.25">
      <c r="B79" s="48"/>
      <c r="C79" s="42"/>
      <c r="F79"/>
    </row>
    <row r="80" spans="2:6" x14ac:dyDescent="0.25">
      <c r="B80" s="48"/>
      <c r="C80" s="42"/>
    </row>
    <row r="81" spans="2:6" x14ac:dyDescent="0.25">
      <c r="B81" s="39"/>
      <c r="C81" s="42"/>
      <c r="F81"/>
    </row>
    <row r="82" spans="2:6" x14ac:dyDescent="0.25">
      <c r="C82" s="42"/>
    </row>
    <row r="83" spans="2:6" x14ac:dyDescent="0.25">
      <c r="C83" s="42"/>
    </row>
    <row r="84" spans="2:6" x14ac:dyDescent="0.25">
      <c r="C84" s="42"/>
    </row>
    <row r="85" spans="2:6" x14ac:dyDescent="0.25">
      <c r="C85" s="42"/>
    </row>
    <row r="86" spans="2:6" x14ac:dyDescent="0.25">
      <c r="C86" s="42"/>
    </row>
    <row r="87" spans="2:6" x14ac:dyDescent="0.25">
      <c r="C87" s="42"/>
    </row>
    <row r="88" spans="2:6" x14ac:dyDescent="0.25">
      <c r="C88" s="42"/>
    </row>
    <row r="89" spans="2:6" x14ac:dyDescent="0.25">
      <c r="C89" s="42"/>
    </row>
    <row r="90" spans="2:6" x14ac:dyDescent="0.25">
      <c r="C90" s="42"/>
    </row>
    <row r="91" spans="2:6" x14ac:dyDescent="0.25">
      <c r="C91" s="42"/>
    </row>
    <row r="92" spans="2:6" x14ac:dyDescent="0.25">
      <c r="C92" s="42"/>
    </row>
    <row r="93" spans="2:6" x14ac:dyDescent="0.25">
      <c r="C93" s="42"/>
    </row>
    <row r="94" spans="2:6" x14ac:dyDescent="0.25">
      <c r="C94" s="42"/>
      <c r="F94" s="42"/>
    </row>
    <row r="95" spans="2:6" x14ac:dyDescent="0.25">
      <c r="C95" s="42"/>
      <c r="F95" s="42"/>
    </row>
    <row r="96" spans="2:6" x14ac:dyDescent="0.25">
      <c r="C96" s="42"/>
    </row>
    <row r="97" spans="2:8" x14ac:dyDescent="0.25">
      <c r="C97" s="42"/>
    </row>
    <row r="98" spans="2:8" x14ac:dyDescent="0.25">
      <c r="C98" s="42"/>
    </row>
    <row r="99" spans="2:8" x14ac:dyDescent="0.25">
      <c r="C99" s="42"/>
    </row>
    <row r="100" spans="2:8" x14ac:dyDescent="0.25">
      <c r="B100" s="46"/>
      <c r="C100" s="47"/>
      <c r="D100" s="43"/>
      <c r="E100" s="46"/>
      <c r="F100" s="43"/>
      <c r="G100" s="43"/>
      <c r="H100" s="43"/>
    </row>
    <row r="101" spans="2:8" x14ac:dyDescent="0.25">
      <c r="C101" s="42"/>
    </row>
    <row r="102" spans="2:8" x14ac:dyDescent="0.25">
      <c r="C102" s="42"/>
    </row>
    <row r="103" spans="2:8" x14ac:dyDescent="0.25">
      <c r="C103" s="42"/>
    </row>
    <row r="104" spans="2:8" x14ac:dyDescent="0.25">
      <c r="C104" s="42"/>
    </row>
    <row r="105" spans="2:8" x14ac:dyDescent="0.25">
      <c r="C105" s="42"/>
    </row>
    <row r="106" spans="2:8" x14ac:dyDescent="0.25">
      <c r="C106" s="42"/>
    </row>
    <row r="107" spans="2:8" x14ac:dyDescent="0.25">
      <c r="C107" s="42"/>
    </row>
    <row r="108" spans="2:8" x14ac:dyDescent="0.25">
      <c r="C108" s="42"/>
    </row>
    <row r="109" spans="2:8" x14ac:dyDescent="0.25">
      <c r="C109" s="42"/>
    </row>
    <row r="110" spans="2:8" x14ac:dyDescent="0.25">
      <c r="C110" s="42"/>
    </row>
    <row r="111" spans="2:8" x14ac:dyDescent="0.25">
      <c r="C111" s="42"/>
    </row>
    <row r="112" spans="2:8" x14ac:dyDescent="0.25">
      <c r="C112" s="42"/>
    </row>
    <row r="113" spans="2:3" x14ac:dyDescent="0.25">
      <c r="C113" s="42"/>
    </row>
    <row r="114" spans="2:3" x14ac:dyDescent="0.25">
      <c r="C114" s="42"/>
    </row>
    <row r="115" spans="2:3" x14ac:dyDescent="0.25">
      <c r="C115" s="42"/>
    </row>
    <row r="116" spans="2:3" x14ac:dyDescent="0.25">
      <c r="B116" s="46"/>
      <c r="C116" s="42"/>
    </row>
    <row r="117" spans="2:3" x14ac:dyDescent="0.25">
      <c r="B117" s="46"/>
      <c r="C117" s="42"/>
    </row>
    <row r="118" spans="2:3" x14ac:dyDescent="0.25">
      <c r="C118" s="42"/>
    </row>
    <row r="119" spans="2:3" x14ac:dyDescent="0.25">
      <c r="C119" s="42"/>
    </row>
    <row r="120" spans="2:3" x14ac:dyDescent="0.25">
      <c r="C120" s="42"/>
    </row>
    <row r="121" spans="2:3" x14ac:dyDescent="0.25">
      <c r="C121" s="42"/>
    </row>
    <row r="122" spans="2:3" x14ac:dyDescent="0.25">
      <c r="C122" s="42"/>
    </row>
    <row r="123" spans="2:3" x14ac:dyDescent="0.25">
      <c r="C123" s="42"/>
    </row>
    <row r="124" spans="2:3" x14ac:dyDescent="0.25">
      <c r="C124" s="42"/>
    </row>
    <row r="125" spans="2:3" x14ac:dyDescent="0.25">
      <c r="C125" s="42"/>
    </row>
    <row r="126" spans="2:3" x14ac:dyDescent="0.25">
      <c r="C126" s="42"/>
    </row>
    <row r="127" spans="2:3" x14ac:dyDescent="0.25">
      <c r="C127" s="42"/>
    </row>
    <row r="128" spans="2:3" x14ac:dyDescent="0.25">
      <c r="C128" s="42"/>
    </row>
    <row r="129" spans="3:7" x14ac:dyDescent="0.25">
      <c r="C129" s="42"/>
    </row>
    <row r="130" spans="3:7" x14ac:dyDescent="0.25">
      <c r="C130" s="42"/>
    </row>
    <row r="131" spans="3:7" x14ac:dyDescent="0.25">
      <c r="C131" s="42"/>
    </row>
    <row r="132" spans="3:7" x14ac:dyDescent="0.25">
      <c r="C132" s="42"/>
    </row>
    <row r="133" spans="3:7" x14ac:dyDescent="0.25">
      <c r="C133" s="42"/>
    </row>
    <row r="134" spans="3:7" x14ac:dyDescent="0.25">
      <c r="C134" s="42"/>
    </row>
    <row r="135" spans="3:7" x14ac:dyDescent="0.25">
      <c r="C135" s="42"/>
    </row>
    <row r="136" spans="3:7" x14ac:dyDescent="0.25">
      <c r="C136" s="42"/>
    </row>
    <row r="137" spans="3:7" x14ac:dyDescent="0.25">
      <c r="C137" s="42"/>
    </row>
    <row r="138" spans="3:7" x14ac:dyDescent="0.25">
      <c r="C138" s="42"/>
    </row>
    <row r="139" spans="3:7" x14ac:dyDescent="0.25">
      <c r="C139" s="42"/>
    </row>
    <row r="140" spans="3:7" x14ac:dyDescent="0.25">
      <c r="C140" s="42"/>
    </row>
    <row r="141" spans="3:7" x14ac:dyDescent="0.25">
      <c r="C141" s="42"/>
      <c r="G141" s="51"/>
    </row>
    <row r="142" spans="3:7" x14ac:dyDescent="0.25">
      <c r="C142" s="42"/>
    </row>
    <row r="143" spans="3:7" x14ac:dyDescent="0.25">
      <c r="C143" s="42"/>
    </row>
    <row r="144" spans="3:7" x14ac:dyDescent="0.25">
      <c r="C144" s="42"/>
    </row>
    <row r="145" spans="3:6" x14ac:dyDescent="0.25">
      <c r="C145" s="42"/>
    </row>
    <row r="146" spans="3:6" x14ac:dyDescent="0.25">
      <c r="C146" s="42"/>
    </row>
    <row r="147" spans="3:6" x14ac:dyDescent="0.25">
      <c r="C147" s="42"/>
    </row>
    <row r="148" spans="3:6" x14ac:dyDescent="0.25">
      <c r="C148" s="42"/>
    </row>
    <row r="149" spans="3:6" x14ac:dyDescent="0.25">
      <c r="C149" s="42"/>
    </row>
    <row r="150" spans="3:6" x14ac:dyDescent="0.25">
      <c r="C150" s="42"/>
    </row>
    <row r="151" spans="3:6" x14ac:dyDescent="0.25">
      <c r="C151" s="42"/>
    </row>
    <row r="152" spans="3:6" x14ac:dyDescent="0.25">
      <c r="C152" s="42"/>
    </row>
    <row r="153" spans="3:6" x14ac:dyDescent="0.25">
      <c r="C153" s="42"/>
    </row>
    <row r="154" spans="3:6" x14ac:dyDescent="0.25">
      <c r="C154" s="42"/>
    </row>
    <row r="155" spans="3:6" x14ac:dyDescent="0.25">
      <c r="C155" s="42"/>
    </row>
    <row r="156" spans="3:6" x14ac:dyDescent="0.25">
      <c r="C156" s="42"/>
      <c r="F156" s="43"/>
    </row>
    <row r="157" spans="3:6" x14ac:dyDescent="0.25">
      <c r="C157" s="42"/>
    </row>
    <row r="158" spans="3:6" x14ac:dyDescent="0.25">
      <c r="C158" s="42"/>
    </row>
    <row r="159" spans="3:6" x14ac:dyDescent="0.25">
      <c r="C159" s="42"/>
    </row>
    <row r="160" spans="3:6" x14ac:dyDescent="0.25">
      <c r="C160" s="42"/>
    </row>
    <row r="161" spans="3:7" x14ac:dyDescent="0.25">
      <c r="C161" s="42"/>
    </row>
    <row r="162" spans="3:7" x14ac:dyDescent="0.25">
      <c r="C162" s="42"/>
    </row>
    <row r="163" spans="3:7" x14ac:dyDescent="0.25">
      <c r="C163" s="42"/>
      <c r="G163" s="55"/>
    </row>
    <row r="164" spans="3:7" x14ac:dyDescent="0.25">
      <c r="C164" s="42"/>
    </row>
    <row r="165" spans="3:7" x14ac:dyDescent="0.25">
      <c r="C165" s="42"/>
    </row>
    <row r="166" spans="3:7" x14ac:dyDescent="0.25">
      <c r="C166" s="42"/>
    </row>
    <row r="167" spans="3:7" x14ac:dyDescent="0.25">
      <c r="C167" s="42"/>
    </row>
    <row r="168" spans="3:7" x14ac:dyDescent="0.25">
      <c r="C168" s="42"/>
    </row>
    <row r="169" spans="3:7" x14ac:dyDescent="0.25">
      <c r="C169" s="42"/>
    </row>
    <row r="170" spans="3:7" x14ac:dyDescent="0.25">
      <c r="C170" s="42"/>
    </row>
    <row r="171" spans="3:7" x14ac:dyDescent="0.25">
      <c r="C171" s="42"/>
    </row>
    <row r="172" spans="3:7" x14ac:dyDescent="0.25">
      <c r="C172" s="42"/>
    </row>
    <row r="173" spans="3:7" x14ac:dyDescent="0.25">
      <c r="C173" s="42"/>
    </row>
    <row r="174" spans="3:7" x14ac:dyDescent="0.25">
      <c r="C174" s="42"/>
    </row>
    <row r="175" spans="3:7" x14ac:dyDescent="0.25">
      <c r="C175" s="42"/>
    </row>
    <row r="176" spans="3:7" x14ac:dyDescent="0.25">
      <c r="C176" s="42"/>
    </row>
    <row r="177" spans="3:7" x14ac:dyDescent="0.25">
      <c r="C177" s="42"/>
    </row>
    <row r="178" spans="3:7" x14ac:dyDescent="0.25">
      <c r="C178" s="42"/>
    </row>
    <row r="179" spans="3:7" x14ac:dyDescent="0.25">
      <c r="C179" s="42"/>
    </row>
    <row r="180" spans="3:7" x14ac:dyDescent="0.25">
      <c r="C180" s="42"/>
    </row>
    <row r="181" spans="3:7" x14ac:dyDescent="0.25">
      <c r="C181" s="42"/>
    </row>
    <row r="182" spans="3:7" x14ac:dyDescent="0.25">
      <c r="C182" s="42"/>
    </row>
    <row r="183" spans="3:7" x14ac:dyDescent="0.25">
      <c r="C183" s="42"/>
    </row>
    <row r="184" spans="3:7" x14ac:dyDescent="0.25">
      <c r="C184" s="42"/>
    </row>
    <row r="185" spans="3:7" x14ac:dyDescent="0.25">
      <c r="C185" s="42"/>
    </row>
    <row r="186" spans="3:7" x14ac:dyDescent="0.25">
      <c r="C186" s="42"/>
    </row>
    <row r="187" spans="3:7" x14ac:dyDescent="0.25">
      <c r="C187" s="42"/>
    </row>
    <row r="188" spans="3:7" x14ac:dyDescent="0.25">
      <c r="C188" s="42"/>
    </row>
    <row r="189" spans="3:7" x14ac:dyDescent="0.25">
      <c r="C189" s="42"/>
    </row>
    <row r="190" spans="3:7" x14ac:dyDescent="0.25">
      <c r="C190" s="42"/>
    </row>
    <row r="191" spans="3:7" x14ac:dyDescent="0.25">
      <c r="C191" s="42"/>
    </row>
    <row r="192" spans="3:7" x14ac:dyDescent="0.25">
      <c r="C192" s="42"/>
      <c r="G192" s="55"/>
    </row>
    <row r="193" spans="3:7" x14ac:dyDescent="0.25">
      <c r="C193" s="42"/>
      <c r="G193" s="55"/>
    </row>
    <row r="194" spans="3:7" x14ac:dyDescent="0.25">
      <c r="C194" s="42"/>
    </row>
    <row r="195" spans="3:7" x14ac:dyDescent="0.25">
      <c r="C195" s="42"/>
    </row>
    <row r="196" spans="3:7" x14ac:dyDescent="0.25">
      <c r="C196" s="42"/>
    </row>
    <row r="197" spans="3:7" x14ac:dyDescent="0.25">
      <c r="C197" s="42"/>
    </row>
    <row r="198" spans="3:7" x14ac:dyDescent="0.25">
      <c r="C198" s="42"/>
    </row>
    <row r="199" spans="3:7" x14ac:dyDescent="0.25">
      <c r="C199" s="42"/>
    </row>
    <row r="200" spans="3:7" x14ac:dyDescent="0.25">
      <c r="C200" s="42"/>
    </row>
    <row r="201" spans="3:7" x14ac:dyDescent="0.25">
      <c r="C201" s="42"/>
    </row>
    <row r="202" spans="3:7" x14ac:dyDescent="0.25">
      <c r="C202" s="42"/>
    </row>
    <row r="203" spans="3:7" x14ac:dyDescent="0.25">
      <c r="C203" s="42"/>
    </row>
    <row r="204" spans="3:7" x14ac:dyDescent="0.25">
      <c r="C204" s="42"/>
    </row>
    <row r="205" spans="3:7" x14ac:dyDescent="0.25">
      <c r="C205" s="42"/>
    </row>
    <row r="206" spans="3:7" x14ac:dyDescent="0.25">
      <c r="C206" s="42"/>
    </row>
    <row r="207" spans="3:7" x14ac:dyDescent="0.25">
      <c r="C207" s="42"/>
    </row>
    <row r="208" spans="3:7" x14ac:dyDescent="0.25">
      <c r="C208" s="42"/>
    </row>
    <row r="209" spans="3:3" x14ac:dyDescent="0.25">
      <c r="C209" s="42"/>
    </row>
    <row r="210" spans="3:3" x14ac:dyDescent="0.25">
      <c r="C210" s="42"/>
    </row>
    <row r="211" spans="3:3" x14ac:dyDescent="0.25">
      <c r="C211" s="42"/>
    </row>
    <row r="212" spans="3:3" x14ac:dyDescent="0.25">
      <c r="C212" s="42"/>
    </row>
    <row r="213" spans="3:3" x14ac:dyDescent="0.25">
      <c r="C213" s="42"/>
    </row>
    <row r="214" spans="3:3" x14ac:dyDescent="0.25">
      <c r="C214" s="42"/>
    </row>
    <row r="215" spans="3:3" x14ac:dyDescent="0.25">
      <c r="C215" s="42"/>
    </row>
    <row r="216" spans="3:3" x14ac:dyDescent="0.25">
      <c r="C216" s="42"/>
    </row>
    <row r="217" spans="3:3" x14ac:dyDescent="0.25">
      <c r="C217" s="42"/>
    </row>
    <row r="218" spans="3:3" x14ac:dyDescent="0.25">
      <c r="C218" s="42"/>
    </row>
    <row r="219" spans="3:3" x14ac:dyDescent="0.25">
      <c r="C219" s="42"/>
    </row>
    <row r="220" spans="3:3" x14ac:dyDescent="0.25">
      <c r="C220" s="42"/>
    </row>
    <row r="221" spans="3:3" x14ac:dyDescent="0.25">
      <c r="C221" s="42"/>
    </row>
    <row r="222" spans="3:3" x14ac:dyDescent="0.25">
      <c r="C222" s="42"/>
    </row>
    <row r="223" spans="3:3" x14ac:dyDescent="0.25">
      <c r="C223" s="42"/>
    </row>
    <row r="224" spans="3:3" x14ac:dyDescent="0.25">
      <c r="C224" s="42"/>
    </row>
    <row r="225" spans="3:5" x14ac:dyDescent="0.25">
      <c r="C225" s="42"/>
    </row>
    <row r="226" spans="3:5" x14ac:dyDescent="0.25">
      <c r="C226" s="42"/>
    </row>
    <row r="227" spans="3:5" x14ac:dyDescent="0.25">
      <c r="C227" s="42"/>
    </row>
    <row r="228" spans="3:5" x14ac:dyDescent="0.25">
      <c r="C228" s="42"/>
    </row>
    <row r="229" spans="3:5" x14ac:dyDescent="0.25">
      <c r="C229" s="42"/>
      <c r="E229" s="40"/>
    </row>
    <row r="230" spans="3:5" x14ac:dyDescent="0.25">
      <c r="C230" s="42"/>
    </row>
    <row r="231" spans="3:5" x14ac:dyDescent="0.25">
      <c r="C231" s="42"/>
    </row>
    <row r="232" spans="3:5" x14ac:dyDescent="0.25">
      <c r="C232" s="42"/>
    </row>
    <row r="233" spans="3:5" x14ac:dyDescent="0.25">
      <c r="C233" s="42"/>
    </row>
    <row r="234" spans="3:5" x14ac:dyDescent="0.25">
      <c r="C234" s="42"/>
    </row>
  </sheetData>
  <autoFilter ref="A1:H232" xr:uid="{7A35BC33-88AB-41D0-AC0F-83F1AAE09BA9}"/>
  <phoneticPr fontId="7" type="noConversion"/>
  <conditionalFormatting sqref="A1:E2 H1:XFD18 B3:E12 A3:A232 C13:E15 B16:E28 H19:I28 K19:XFD28 C29:E35 H29:XFD1048576 B36:E36 C37:E47 B48:E50 C51:E57 B58:E60 C61:E71 B72:E72 C73:E75 B76:E76 C77:E81 B82:E115 C116:E117 B118:E176 C177:E177 B178:E232 A233:E1048576">
    <cfRule type="containsText" dxfId="13" priority="7" operator="containsText" text="Correção">
      <formula>NOT(ISERROR(SEARCH("Correção",A1)))</formula>
    </cfRule>
    <cfRule type="containsText" dxfId="12" priority="8" operator="containsText" text="Atenção">
      <formula>NOT(ISERROR(SEARCH("Atenção",A1)))</formula>
    </cfRule>
    <cfRule type="containsText" dxfId="11" priority="9" operator="containsText" text="Aguarda">
      <formula>NOT(ISERROR(SEARCH("Aguarda",A1)))</formula>
    </cfRule>
    <cfRule type="containsText" dxfId="10" priority="10" operator="containsText" text="arquiv">
      <formula>NOT(ISERROR(SEARCH("arquiv",A1)))</formula>
    </cfRule>
    <cfRule type="containsText" dxfId="9" priority="11" operator="containsText" text="Indefer">
      <formula>NOT(ISERROR(SEARCH("Indefer",A1)))</formula>
    </cfRule>
    <cfRule type="containsText" dxfId="8" priority="12" operator="containsText" text="Finalizado">
      <formula>NOT(ISERROR(SEARCH("Finalizado",A1)))</formula>
    </cfRule>
    <cfRule type="containsText" dxfId="7" priority="14" operator="containsText" text="Pendência documental">
      <formula>NOT(ISERROR(SEARCH("Pendência documental",A1)))</formula>
    </cfRule>
  </conditionalFormatting>
  <conditionalFormatting sqref="G2:G1048576">
    <cfRule type="notContainsBlanks" dxfId="6" priority="1">
      <formula>LEN(TRIM(G2))&gt;0</formula>
    </cfRule>
    <cfRule type="containsText" dxfId="5" priority="2" operator="containsText" text="correção">
      <formula>NOT(ISERROR(SEARCH("correção",G2)))</formula>
    </cfRule>
    <cfRule type="cellIs" dxfId="4" priority="3" operator="equal">
      <formula>"correção"</formula>
    </cfRule>
    <cfRule type="containsText" dxfId="3" priority="4" operator="containsText" text="Flavia">
      <formula>NOT(ISERROR(SEARCH("Flavia",G2)))</formula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paperSize="9" scale="56" orientation="landscape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98FA3F5-C16A-46FF-BA8B-EE2DCE0B5000}">
          <x14:formula1>
            <xm:f>'Base protocolos'!$C$2:$C$15</xm:f>
          </x14:formula1>
          <xm:sqref>A392</xm:sqref>
        </x14:dataValidation>
        <x14:dataValidation type="list" allowBlank="1" showInputMessage="1" showErrorMessage="1" xr:uid="{EE9AEDA4-1BBE-419E-8CF2-9304D3F135C7}">
          <x14:formula1>
            <xm:f>'Base protocolos'!$A$2:$A$36</xm:f>
          </x14:formula1>
          <xm:sqref>H2:H18 H20 H23:H607</xm:sqref>
        </x14:dataValidation>
        <x14:dataValidation type="list" allowBlank="1" showInputMessage="1" showErrorMessage="1" xr:uid="{FA9EB665-F937-4773-9C2E-07AFDBC8FE48}">
          <x14:formula1>
            <xm:f>'Base protocolos'!$E$2:$E$57</xm:f>
          </x14:formula1>
          <xm:sqref>D2:D1048576</xm:sqref>
        </x14:dataValidation>
        <x14:dataValidation type="list" allowBlank="1" showInputMessage="1" showErrorMessage="1" xr:uid="{3CB22066-F172-457C-BA10-45310F1DA003}">
          <x14:formula1>
            <xm:f>'Base protocolos'!C$2:C$15</xm:f>
          </x14:formula1>
          <xm:sqref>A393:A416 A233:A391</xm:sqref>
        </x14:dataValidation>
        <x14:dataValidation type="list" allowBlank="1" showInputMessage="1" showErrorMessage="1" xr:uid="{FE875D70-3D4E-46AA-BED2-C42153A4A950}">
          <x14:formula1>
            <xm:f>'Base protocolos'!C$2:C$16</xm:f>
          </x14:formula1>
          <xm:sqref>A2:A232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0DE60-2DB3-422D-AE77-BC6288B0EBF6}">
  <sheetPr codeName="Planilha1"/>
  <dimension ref="A1:XFC103"/>
  <sheetViews>
    <sheetView showGridLines="0" topLeftCell="A31" zoomScaleNormal="100" workbookViewId="0">
      <selection activeCell="D2" sqref="D2"/>
    </sheetView>
  </sheetViews>
  <sheetFormatPr defaultColWidth="0" defaultRowHeight="18.75" zeroHeight="1" x14ac:dyDescent="0.3"/>
  <cols>
    <col min="1" max="1" width="2.7109375" style="49" customWidth="1"/>
    <col min="2" max="2" width="2.85546875" style="63" customWidth="1"/>
    <col min="3" max="3" width="1" style="49" customWidth="1"/>
    <col min="4" max="4" width="200.7109375" style="59" customWidth="1"/>
    <col min="5" max="5" width="10.7109375" style="49" hidden="1" customWidth="1"/>
    <col min="6" max="16382" width="62.28515625" style="49" hidden="1"/>
    <col min="16383" max="16383" width="4.85546875" style="49" hidden="1" customWidth="1"/>
    <col min="16384" max="16384" width="21.42578125" style="49" hidden="1" customWidth="1"/>
  </cols>
  <sheetData>
    <row r="1" spans="2:4" ht="15" customHeight="1" x14ac:dyDescent="0.3">
      <c r="D1" s="114" t="s">
        <v>128</v>
      </c>
    </row>
    <row r="2" spans="2:4" ht="20.100000000000001" customHeight="1" x14ac:dyDescent="0.3">
      <c r="C2" s="52"/>
      <c r="D2" s="85" t="s">
        <v>122</v>
      </c>
    </row>
    <row r="3" spans="2:4" ht="5.0999999999999996" customHeight="1" x14ac:dyDescent="0.3"/>
    <row r="4" spans="2:4" s="50" customFormat="1" ht="18" customHeight="1" x14ac:dyDescent="0.25">
      <c r="B4" s="64"/>
      <c r="D4" s="86" t="str">
        <f>VLOOKUP($D$2,[1]Planilha1!$A$2:$O$18,2,0)</f>
        <v>Razão social.</v>
      </c>
    </row>
    <row r="5" spans="2:4" s="50" customFormat="1" ht="5.0999999999999996" customHeight="1" x14ac:dyDescent="0.25">
      <c r="B5" s="61"/>
      <c r="D5" s="86"/>
    </row>
    <row r="6" spans="2:4" s="50" customFormat="1" ht="18" customHeight="1" x14ac:dyDescent="0.25">
      <c r="B6" s="64"/>
      <c r="D6" s="86" t="str">
        <f>VLOOKUP($D$2,[1]Planilha1!$A$2:$O$18,3,0)</f>
        <v>Nome fantasia.</v>
      </c>
    </row>
    <row r="7" spans="2:4" s="50" customFormat="1" ht="5.0999999999999996" customHeight="1" x14ac:dyDescent="0.25">
      <c r="B7" s="61"/>
      <c r="D7" s="86"/>
    </row>
    <row r="8" spans="2:4" s="50" customFormat="1" ht="18" customHeight="1" x14ac:dyDescent="0.25">
      <c r="B8" s="64"/>
      <c r="D8" s="86" t="str">
        <f>VLOOKUP($D$2,[1]Planilha1!$A$2:$O$18,4,0)</f>
        <v>Dados de contato (endereço/telefone/e-mail).</v>
      </c>
    </row>
    <row r="9" spans="2:4" s="50" customFormat="1" ht="5.0999999999999996" customHeight="1" x14ac:dyDescent="0.25">
      <c r="B9" s="61"/>
      <c r="D9" s="86"/>
    </row>
    <row r="10" spans="2:4" s="50" customFormat="1" ht="18" customHeight="1" x14ac:dyDescent="0.25">
      <c r="B10" s="64"/>
      <c r="D10" s="86" t="str">
        <f>VLOOKUP($D$2,[1]Planilha1!$A$2:$O$18,5,0)</f>
        <v>Selecionado alteração de horário.</v>
      </c>
    </row>
    <row r="11" spans="2:4" s="50" customFormat="1" ht="5.0999999999999996" customHeight="1" x14ac:dyDescent="0.25">
      <c r="B11" s="61"/>
      <c r="D11" s="86"/>
    </row>
    <row r="12" spans="2:4" s="50" customFormat="1" ht="18" customHeight="1" x14ac:dyDescent="0.25">
      <c r="B12" s="64"/>
      <c r="D12" s="86" t="str">
        <f>VLOOKUP($D$2,[1]Planilha1!$A$2:$O$18,6,0)</f>
        <v>Gerado pelo atual Diretor Técnico.</v>
      </c>
    </row>
    <row r="13" spans="2:4" s="50" customFormat="1" ht="5.0999999999999996" customHeight="1" x14ac:dyDescent="0.25">
      <c r="B13" s="61"/>
      <c r="D13" s="86"/>
    </row>
    <row r="14" spans="2:4" s="50" customFormat="1" ht="18" customHeight="1" x14ac:dyDescent="0.25">
      <c r="B14" s="64"/>
      <c r="D14" s="86" t="str">
        <f>VLOOKUP($D$2,[1]Planilha1!$A$2:$O$18,7,0)</f>
        <v>Emitido nos últimos 30 dias anterior ao protocolo.</v>
      </c>
    </row>
    <row r="15" spans="2:4" s="50" customFormat="1" ht="5.0999999999999996" customHeight="1" x14ac:dyDescent="0.25">
      <c r="B15" s="61"/>
      <c r="D15" s="86"/>
    </row>
    <row r="16" spans="2:4" s="50" customFormat="1" ht="18" customHeight="1" x14ac:dyDescent="0.25">
      <c r="B16" s="64"/>
      <c r="D16" s="86" t="str">
        <f>VLOOKUP($D$2,[1]Planilha1!$A$2:$O$18,8,0)</f>
        <v>Ramo de atividade igual ou alterado, se alterado, pedir alteração contratual com CNAE da atividade declarada.</v>
      </c>
    </row>
    <row r="17" spans="2:4" s="50" customFormat="1" ht="5.0999999999999996" customHeight="1" x14ac:dyDescent="0.25">
      <c r="B17" s="61"/>
      <c r="D17" s="86"/>
    </row>
    <row r="18" spans="2:4" s="50" customFormat="1" ht="18" customHeight="1" x14ac:dyDescent="0.25">
      <c r="B18" s="64"/>
      <c r="D18" s="86" t="str">
        <f>VLOOKUP($D$2,[1]Planilha1!$A$2:$O$18,9,0)</f>
        <v>Códigos de validação legíveis.</v>
      </c>
    </row>
    <row r="19" spans="2:4" s="50" customFormat="1" ht="5.0999999999999996" customHeight="1" x14ac:dyDescent="0.25">
      <c r="B19" s="61"/>
      <c r="D19" s="86"/>
    </row>
    <row r="20" spans="2:4" s="50" customFormat="1" ht="18" customHeight="1" x14ac:dyDescent="0.25">
      <c r="B20" s="64"/>
      <c r="D20" s="86" t="str">
        <f>VLOOKUP($D$2,[1]Planilha1!$A$2:$O$18,10,0)</f>
        <v>Verificar se está assinalado “alopatia”.</v>
      </c>
    </row>
    <row r="21" spans="2:4" s="50" customFormat="1" ht="5.0999999999999996" customHeight="1" x14ac:dyDescent="0.25">
      <c r="B21" s="61"/>
      <c r="D21" s="86"/>
    </row>
    <row r="22" spans="2:4" s="50" customFormat="1" ht="18" customHeight="1" x14ac:dyDescent="0.25">
      <c r="B22" s="64"/>
      <c r="D22" s="86" t="str">
        <f>VLOOKUP($D$2,[1]Planilha1!$A$2:$O$18,11,0)</f>
        <v>*</v>
      </c>
    </row>
    <row r="23" spans="2:4" s="50" customFormat="1" ht="5.0999999999999996" customHeight="1" x14ac:dyDescent="0.25">
      <c r="B23" s="61"/>
      <c r="D23" s="86"/>
    </row>
    <row r="24" spans="2:4" s="50" customFormat="1" ht="18" customHeight="1" x14ac:dyDescent="0.25">
      <c r="B24" s="64"/>
      <c r="D24" s="86" t="str">
        <f>VLOOKUP($D$2,[1]Planilha1!$A$2:$O$18,12,0)</f>
        <v>*</v>
      </c>
    </row>
    <row r="25" spans="2:4" s="50" customFormat="1" ht="5.0999999999999996" customHeight="1" x14ac:dyDescent="0.25">
      <c r="B25" s="61"/>
      <c r="D25" s="86"/>
    </row>
    <row r="26" spans="2:4" s="54" customFormat="1" ht="18" customHeight="1" x14ac:dyDescent="0.25">
      <c r="B26" s="64"/>
      <c r="D26" s="86" t="str">
        <f>VLOOKUP($D$2,[1]Planilha1!$A$2:$O$18,13,0)</f>
        <v>*</v>
      </c>
    </row>
    <row r="27" spans="2:4" s="50" customFormat="1" ht="5.0999999999999996" customHeight="1" x14ac:dyDescent="0.25">
      <c r="B27" s="61"/>
      <c r="D27" s="86"/>
    </row>
    <row r="28" spans="2:4" s="50" customFormat="1" ht="18" customHeight="1" x14ac:dyDescent="0.25">
      <c r="B28" s="64"/>
      <c r="D28" s="86" t="str">
        <f>VLOOKUP($D$2,[1]Planilha1!$A$2:$O$18,14,0)</f>
        <v>*</v>
      </c>
    </row>
    <row r="29" spans="2:4" s="50" customFormat="1" ht="5.0999999999999996" customHeight="1" x14ac:dyDescent="0.25">
      <c r="B29" s="61"/>
      <c r="D29" s="86"/>
    </row>
    <row r="30" spans="2:4" s="50" customFormat="1" ht="18" customHeight="1" x14ac:dyDescent="0.25">
      <c r="B30" s="64"/>
      <c r="D30" s="86" t="str">
        <f>VLOOKUP($D$2,[1]Planilha1!$A$2:$O$18,15,0)</f>
        <v>*</v>
      </c>
    </row>
    <row r="31" spans="2:4" s="50" customFormat="1" ht="5.0999999999999996" customHeight="1" x14ac:dyDescent="0.25">
      <c r="B31" s="61"/>
      <c r="D31" s="57"/>
    </row>
    <row r="32" spans="2:4" s="50" customFormat="1" ht="18" customHeight="1" x14ac:dyDescent="0.25">
      <c r="B32" s="61"/>
      <c r="D32" s="57"/>
    </row>
    <row r="33" spans="2:4" s="50" customFormat="1" ht="15" customHeight="1" x14ac:dyDescent="0.25">
      <c r="B33" s="61"/>
      <c r="D33" s="114" t="s">
        <v>129</v>
      </c>
    </row>
    <row r="34" spans="2:4" s="50" customFormat="1" ht="20.100000000000001" customHeight="1" x14ac:dyDescent="0.25">
      <c r="B34" s="61"/>
      <c r="D34" s="58" t="s">
        <v>139</v>
      </c>
    </row>
    <row r="35" spans="2:4" s="50" customFormat="1" ht="5.0999999999999996" customHeight="1" x14ac:dyDescent="0.25">
      <c r="B35" s="61"/>
      <c r="D35" s="57"/>
    </row>
    <row r="36" spans="2:4" s="50" customFormat="1" ht="18" customHeight="1" x14ac:dyDescent="0.25">
      <c r="B36" s="64"/>
      <c r="D36" s="86" t="str">
        <f>VLOOKUP($D$34,[1]Planilha1!$A$20:$L$31,2,0)</f>
        <v>Poderá realizar cobertura de no máximo 06 profissionais no mesmo estabelecimento ou em estabelecimentos distintos, desde que, possuam assistência integral.</v>
      </c>
    </row>
    <row r="37" spans="2:4" s="50" customFormat="1" ht="5.0999999999999996" customHeight="1" x14ac:dyDescent="0.25">
      <c r="B37" s="61"/>
      <c r="D37" s="86"/>
    </row>
    <row r="38" spans="2:4" s="50" customFormat="1" ht="18" customHeight="1" x14ac:dyDescent="0.25">
      <c r="B38" s="64"/>
      <c r="D38" s="86" t="str">
        <f>VLOOKUP($D$34,[1]Planilha1!$A$20:$L$31,3,0)</f>
        <v>Não é necessário declarar horário. Se o profissional possuir outro vínculo com horário declarado, deverá declarar também na DAP de modo a não gerar conflito de assistência.</v>
      </c>
    </row>
    <row r="39" spans="2:4" s="50" customFormat="1" ht="5.0999999999999996" customHeight="1" x14ac:dyDescent="0.25">
      <c r="B39" s="61"/>
      <c r="D39" s="88"/>
    </row>
    <row r="40" spans="2:4" s="50" customFormat="1" ht="18" customHeight="1" x14ac:dyDescent="0.25">
      <c r="B40" s="64"/>
      <c r="D40" s="86" t="str">
        <f>VLOOKUP($D$34,[1]Planilha1!$A$20:$L$31,4,0)</f>
        <v>Incluir apenas status 22 - DAP - DECLARAÇÃO DE ATIVIDADE PROFISSIONAL com o nome do profissional e na data de início preencher a data do protocolo.</v>
      </c>
    </row>
    <row r="41" spans="2:4" s="50" customFormat="1" ht="5.0999999999999996" customHeight="1" x14ac:dyDescent="0.25">
      <c r="B41" s="61"/>
      <c r="D41" s="86"/>
    </row>
    <row r="42" spans="2:4" s="50" customFormat="1" ht="18" customHeight="1" x14ac:dyDescent="0.25">
      <c r="B42" s="64"/>
      <c r="D42" s="86" t="str">
        <f>VLOOKUP($D$34,[1]Planilha1!$A$20:$L$31,5,0)</f>
        <v>Caso o estabelecimento possua mais de 1 farmacêutico na modalidade DAP, criar um status 22 para cada profissional.</v>
      </c>
    </row>
    <row r="43" spans="2:4" s="50" customFormat="1" ht="5.0999999999999996" customHeight="1" x14ac:dyDescent="0.25">
      <c r="B43" s="61"/>
      <c r="D43" s="86"/>
    </row>
    <row r="44" spans="2:4" s="50" customFormat="1" ht="18" customHeight="1" x14ac:dyDescent="0.25">
      <c r="B44" s="64"/>
      <c r="D44" s="86" t="str">
        <f>VLOOKUP($D$34,[1]Planilha1!$A$20:$L$31,6,0)</f>
        <v>Na data de contrato do profissional, preencher com a data do protocolo e não a data do Plenário.</v>
      </c>
    </row>
    <row r="45" spans="2:4" s="50" customFormat="1" ht="5.0999999999999996" customHeight="1" x14ac:dyDescent="0.25">
      <c r="B45" s="61"/>
      <c r="D45" s="86"/>
    </row>
    <row r="46" spans="2:4" s="50" customFormat="1" ht="18" customHeight="1" x14ac:dyDescent="0.25">
      <c r="B46" s="64"/>
      <c r="D46" s="86" t="str">
        <f>VLOOKUP($D$34,[1]Planilha1!$A$20:$L$31,7,0)</f>
        <v>*</v>
      </c>
    </row>
    <row r="47" spans="2:4" s="50" customFormat="1" ht="5.0999999999999996" customHeight="1" x14ac:dyDescent="0.25">
      <c r="B47" s="61"/>
      <c r="D47" s="86"/>
    </row>
    <row r="48" spans="2:4" s="50" customFormat="1" ht="18" customHeight="1" x14ac:dyDescent="0.25">
      <c r="B48" s="64"/>
      <c r="D48" s="86" t="str">
        <f>VLOOKUP($D$34,[1]Planilha1!$A$20:$L$31,8,0)</f>
        <v>*</v>
      </c>
    </row>
    <row r="49" spans="2:4" s="50" customFormat="1" ht="5.0999999999999996" customHeight="1" x14ac:dyDescent="0.25">
      <c r="B49" s="61"/>
      <c r="D49" s="86"/>
    </row>
    <row r="50" spans="2:4" s="50" customFormat="1" ht="18" customHeight="1" x14ac:dyDescent="0.25">
      <c r="B50" s="64"/>
      <c r="D50" s="86" t="str">
        <f>VLOOKUP($D$34,[1]Planilha1!$A$20:$L$31,9,0)</f>
        <v>*</v>
      </c>
    </row>
    <row r="51" spans="2:4" s="50" customFormat="1" ht="5.0999999999999996" customHeight="1" x14ac:dyDescent="0.25">
      <c r="B51" s="61"/>
      <c r="D51" s="86"/>
    </row>
    <row r="52" spans="2:4" s="50" customFormat="1" ht="18" customHeight="1" x14ac:dyDescent="0.25">
      <c r="B52" s="64"/>
      <c r="D52" s="86" t="str">
        <f>VLOOKUP($D$34,[1]Planilha1!$A$20:$L$31,10,0)</f>
        <v>*</v>
      </c>
    </row>
    <row r="53" spans="2:4" s="50" customFormat="1" ht="5.0999999999999996" customHeight="1" x14ac:dyDescent="0.25">
      <c r="B53" s="61"/>
      <c r="D53" s="86"/>
    </row>
    <row r="54" spans="2:4" s="50" customFormat="1" ht="18" customHeight="1" x14ac:dyDescent="0.25">
      <c r="B54" s="64"/>
      <c r="D54" s="86" t="str">
        <f>VLOOKUP($D$34,[1]Planilha1!$A$20:$L$31,11,0)</f>
        <v>*</v>
      </c>
    </row>
    <row r="55" spans="2:4" s="50" customFormat="1" ht="5.0999999999999996" customHeight="1" x14ac:dyDescent="0.25">
      <c r="B55" s="61"/>
      <c r="D55" s="86"/>
    </row>
    <row r="56" spans="2:4" s="50" customFormat="1" ht="18" customHeight="1" x14ac:dyDescent="0.25">
      <c r="B56" s="64"/>
      <c r="D56" s="86" t="str">
        <f>VLOOKUP($D$34,[1]Planilha1!$A$20:$L$31,12,0)</f>
        <v>*</v>
      </c>
    </row>
    <row r="57" spans="2:4" s="50" customFormat="1" ht="5.0999999999999996" customHeight="1" x14ac:dyDescent="0.25">
      <c r="B57" s="61"/>
      <c r="D57" s="86"/>
    </row>
    <row r="58" spans="2:4" s="50" customFormat="1" ht="18" customHeight="1" x14ac:dyDescent="0.25">
      <c r="B58" s="61"/>
      <c r="D58" s="86"/>
    </row>
    <row r="59" spans="2:4" s="50" customFormat="1" ht="15" customHeight="1" x14ac:dyDescent="0.25">
      <c r="B59" s="61"/>
      <c r="D59" s="114" t="s">
        <v>127</v>
      </c>
    </row>
    <row r="60" spans="2:4" s="50" customFormat="1" ht="20.100000000000001" customHeight="1" x14ac:dyDescent="0.25">
      <c r="B60" s="61"/>
      <c r="D60" s="58" t="s">
        <v>170</v>
      </c>
    </row>
    <row r="61" spans="2:4" s="50" customFormat="1" ht="5.0999999999999996" customHeight="1" x14ac:dyDescent="0.25">
      <c r="B61" s="61"/>
      <c r="D61" s="57"/>
    </row>
    <row r="62" spans="2:4" s="50" customFormat="1" ht="18" customHeight="1" x14ac:dyDescent="0.25">
      <c r="B62" s="64"/>
      <c r="D62" s="86" t="str">
        <f>VLOOKUP($D$60,[1]Planilha1!$A$33:$P$40,2,0)</f>
        <v>Ao final do procedimento alterar o CÓDIGO DA OCORRÊNCIA conforme o tipo de processo analisado (359 - INGRESSO RESP. TÉC/ 358 - ALT. HORÁRIO/ 16 - REGISTRO).</v>
      </c>
    </row>
    <row r="63" spans="2:4" s="50" customFormat="1" ht="5.0999999999999996" customHeight="1" x14ac:dyDescent="0.25">
      <c r="B63" s="61"/>
      <c r="D63" s="86"/>
    </row>
    <row r="64" spans="2:4" s="50" customFormat="1" ht="18" customHeight="1" x14ac:dyDescent="0.25">
      <c r="B64" s="64"/>
      <c r="D64" s="86" t="str">
        <f>VLOOKUP($D$60,[1]Planilha1!$A$33:$P$40,3,0)</f>
        <v>Evoluir:  Local da evolução: 45 – SITUAÇÃO: 01 – JULGAMENTO: 27 – USUÁRIO DE ENCAMINHAMENTO (Nº do cadastro do colaborador conferente).</v>
      </c>
    </row>
    <row r="65" spans="2:5" s="50" customFormat="1" ht="5.0999999999999996" customHeight="1" x14ac:dyDescent="0.25">
      <c r="B65" s="61"/>
      <c r="D65" s="86"/>
    </row>
    <row r="66" spans="2:5" s="50" customFormat="1" ht="18" customHeight="1" x14ac:dyDescent="0.25">
      <c r="B66" s="64"/>
      <c r="D66" s="86" t="str">
        <f>VLOOKUP($D$60,[1]Planilha1!$A$33:$P$40,4,0)</f>
        <v>*</v>
      </c>
    </row>
    <row r="67" spans="2:5" s="50" customFormat="1" ht="5.0999999999999996" customHeight="1" x14ac:dyDescent="0.25">
      <c r="B67" s="61"/>
      <c r="D67" s="86"/>
    </row>
    <row r="68" spans="2:5" s="50" customFormat="1" ht="18" customHeight="1" x14ac:dyDescent="0.25">
      <c r="B68" s="64"/>
      <c r="D68" s="86" t="str">
        <f>VLOOKUP($D$60,[1]Planilha1!$A$33:$P$40,5,0)</f>
        <v>*</v>
      </c>
      <c r="E68" s="88"/>
    </row>
    <row r="69" spans="2:5" s="50" customFormat="1" ht="5.0999999999999996" customHeight="1" x14ac:dyDescent="0.25">
      <c r="B69" s="61"/>
      <c r="D69" s="86"/>
    </row>
    <row r="70" spans="2:5" s="50" customFormat="1" ht="18" customHeight="1" x14ac:dyDescent="0.25">
      <c r="B70" s="64"/>
      <c r="D70" s="86" t="str">
        <f>VLOOKUP($D$60,[1]Planilha1!$A$33:$P$40,6,0)</f>
        <v>*</v>
      </c>
    </row>
    <row r="71" spans="2:5" ht="5.0999999999999996" customHeight="1" x14ac:dyDescent="0.3">
      <c r="B71" s="61"/>
      <c r="D71" s="87"/>
    </row>
    <row r="72" spans="2:5" ht="18" customHeight="1" x14ac:dyDescent="0.3">
      <c r="B72" s="64"/>
      <c r="D72" s="86" t="str">
        <f>VLOOKUP($D$60,[1]Planilha1!$A$33:$P$40,7,0)</f>
        <v>*</v>
      </c>
    </row>
    <row r="73" spans="2:5" ht="5.0999999999999996" customHeight="1" x14ac:dyDescent="0.3">
      <c r="B73" s="61"/>
      <c r="D73" s="87"/>
    </row>
    <row r="74" spans="2:5" ht="18" customHeight="1" x14ac:dyDescent="0.3">
      <c r="B74" s="64"/>
      <c r="D74" s="86" t="str">
        <f>VLOOKUP($D$60,[1]Planilha1!$A$33:$P$40,8,0)</f>
        <v>*</v>
      </c>
    </row>
    <row r="75" spans="2:5" ht="5.0999999999999996" customHeight="1" x14ac:dyDescent="0.3">
      <c r="B75" s="61"/>
      <c r="D75" s="87"/>
    </row>
    <row r="76" spans="2:5" ht="18" customHeight="1" x14ac:dyDescent="0.3">
      <c r="B76" s="64"/>
      <c r="D76" s="86" t="str">
        <f>VLOOKUP($D$60,[1]Planilha1!$A$33:$P$40,9,0)</f>
        <v>*</v>
      </c>
    </row>
    <row r="77" spans="2:5" ht="5.0999999999999996" customHeight="1" x14ac:dyDescent="0.3">
      <c r="B77" s="61"/>
      <c r="D77" s="87"/>
    </row>
    <row r="78" spans="2:5" ht="18" customHeight="1" x14ac:dyDescent="0.3">
      <c r="B78" s="64"/>
      <c r="D78" s="86" t="str">
        <f>VLOOKUP($D$60,[1]Planilha1!$A$33:$P$40,10,0)</f>
        <v>*</v>
      </c>
    </row>
    <row r="79" spans="2:5" ht="5.0999999999999996" customHeight="1" x14ac:dyDescent="0.3">
      <c r="D79" s="87"/>
    </row>
    <row r="80" spans="2:5" ht="18" customHeight="1" x14ac:dyDescent="0.3">
      <c r="B80" s="64"/>
      <c r="D80" s="86" t="str">
        <f>VLOOKUP($D$60,[1]Planilha1!$A$33:$P$40,11,0)</f>
        <v>*</v>
      </c>
    </row>
    <row r="81" spans="2:4" ht="5.0999999999999996" customHeight="1" x14ac:dyDescent="0.3">
      <c r="B81" s="61"/>
      <c r="D81" s="87"/>
    </row>
    <row r="82" spans="2:4" ht="18" customHeight="1" x14ac:dyDescent="0.3">
      <c r="B82" s="64"/>
      <c r="D82" s="86" t="str">
        <f>VLOOKUP($D$60,[1]Planilha1!$A$33:$P$40,12,0)</f>
        <v>*</v>
      </c>
    </row>
    <row r="83" spans="2:4" ht="5.0999999999999996" customHeight="1" x14ac:dyDescent="0.3">
      <c r="B83" s="61"/>
      <c r="D83" s="87"/>
    </row>
    <row r="84" spans="2:4" ht="18" customHeight="1" x14ac:dyDescent="0.3">
      <c r="B84" s="64"/>
      <c r="D84" s="86" t="str">
        <f>VLOOKUP($D$60,[1]Planilha1!$A$33:$P$40,13,0)</f>
        <v>*</v>
      </c>
    </row>
    <row r="85" spans="2:4" ht="5.0999999999999996" customHeight="1" x14ac:dyDescent="0.3">
      <c r="B85" s="61"/>
      <c r="D85" s="87"/>
    </row>
    <row r="86" spans="2:4" ht="18" customHeight="1" x14ac:dyDescent="0.3">
      <c r="B86" s="64"/>
      <c r="D86" s="86" t="str">
        <f>VLOOKUP($D$60,[1]Planilha1!$A$33:$P$40,14,0)</f>
        <v>*</v>
      </c>
    </row>
    <row r="87" spans="2:4" ht="5.0999999999999996" customHeight="1" x14ac:dyDescent="0.3">
      <c r="B87" s="61"/>
      <c r="D87" s="87"/>
    </row>
    <row r="88" spans="2:4" ht="18" customHeight="1" x14ac:dyDescent="0.3">
      <c r="B88" s="64"/>
      <c r="D88" s="86" t="str">
        <f>VLOOKUP($D$60,[1]Planilha1!$A$33:$P$40,15,0)</f>
        <v>*</v>
      </c>
    </row>
    <row r="89" spans="2:4" ht="5.0999999999999996" customHeight="1" x14ac:dyDescent="0.3">
      <c r="D89" s="87"/>
    </row>
    <row r="90" spans="2:4" ht="18" customHeight="1" x14ac:dyDescent="0.3">
      <c r="B90" s="64"/>
      <c r="D90" s="86" t="str">
        <f>VLOOKUP($D$60,[1]Planilha1!$A$33:$P$40,16,0)</f>
        <v>*</v>
      </c>
    </row>
    <row r="91" spans="2:4" ht="5.0999999999999996" customHeight="1" x14ac:dyDescent="0.3">
      <c r="B91" s="61"/>
      <c r="D91" s="87"/>
    </row>
    <row r="92" spans="2:4" ht="5.0999999999999996" customHeight="1" x14ac:dyDescent="0.3">
      <c r="B92" s="61"/>
      <c r="D92" s="87"/>
    </row>
    <row r="93" spans="2:4" ht="18" customHeight="1" x14ac:dyDescent="0.3">
      <c r="B93" s="61"/>
      <c r="D93" s="87"/>
    </row>
    <row r="94" spans="2:4" s="50" customFormat="1" ht="15" customHeight="1" x14ac:dyDescent="0.25">
      <c r="B94" s="61"/>
      <c r="D94" s="113" t="s">
        <v>230</v>
      </c>
    </row>
    <row r="95" spans="2:4" s="50" customFormat="1" ht="20.100000000000001" customHeight="1" x14ac:dyDescent="0.25">
      <c r="B95" s="61"/>
      <c r="D95" s="60" t="s">
        <v>208</v>
      </c>
    </row>
    <row r="96" spans="2:4" ht="18" customHeight="1" x14ac:dyDescent="0.3"/>
    <row r="97" spans="2:4" s="50" customFormat="1" ht="18" customHeight="1" x14ac:dyDescent="0.25">
      <c r="B97" s="61"/>
      <c r="D97" s="84" t="str">
        <f>VLOOKUP($D$95,[1]Planilha1!$A$42:$E$92,2,0)</f>
        <v>LABORATÓRIO DE ANÁLISES CLÍNICAS</v>
      </c>
    </row>
    <row r="98" spans="2:4" s="50" customFormat="1" ht="18" customHeight="1" x14ac:dyDescent="0.25">
      <c r="B98" s="61"/>
      <c r="D98" s="57"/>
    </row>
    <row r="99" spans="2:4" s="50" customFormat="1" ht="18" customHeight="1" x14ac:dyDescent="0.25">
      <c r="B99" s="61"/>
      <c r="D99" s="84" t="str">
        <f>VLOOKUP($D$95,[1]Planilha1!$A$42:$E$92,3,0)</f>
        <v>NÃO HÁ PRAZO</v>
      </c>
    </row>
    <row r="100" spans="2:4" s="50" customFormat="1" ht="18" customHeight="1" x14ac:dyDescent="0.25">
      <c r="B100" s="61"/>
      <c r="D100" s="57"/>
    </row>
    <row r="101" spans="2:4" s="50" customFormat="1" ht="56.25" customHeight="1" x14ac:dyDescent="0.25">
      <c r="B101" s="61"/>
      <c r="D101" s="84" t="str">
        <f>VLOOKUP($D$95,[1]Planilha1!$A$42:$E$92,4,0)</f>
        <v>O profissional não deve declarar sua assistência; e deverá possuir disponibilidade para todo o horário de funcionamento.</v>
      </c>
    </row>
    <row r="102" spans="2:4" s="50" customFormat="1" ht="13.5" customHeight="1" x14ac:dyDescent="0.25">
      <c r="B102" s="61"/>
      <c r="D102" s="57"/>
    </row>
    <row r="103" spans="2:4" s="50" customFormat="1" ht="13.5" hidden="1" customHeight="1" x14ac:dyDescent="0.25">
      <c r="B103" s="61"/>
      <c r="D103" s="57"/>
    </row>
  </sheetData>
  <sheetProtection selectLockedCells="1"/>
  <conditionalFormatting sqref="B1:B1048576">
    <cfRule type="cellIs" dxfId="2" priority="1" operator="equal">
      <formula>"x"</formula>
    </cfRule>
    <cfRule type="cellIs" dxfId="1" priority="2" operator="equal">
      <formula>"OK"</formula>
    </cfRule>
  </conditionalFormatting>
  <dataValidations xWindow="1334" yWindow="469" count="1">
    <dataValidation type="list" allowBlank="1" showInputMessage="1" showErrorMessage="1" sqref="B1:B1048576" xr:uid="{366ECD92-8F36-4321-9248-7223988404FB}">
      <formula1>#REF!</formula1>
    </dataValidation>
  </dataValidations>
  <pageMargins left="0.511811024" right="0.511811024" top="0.78740157499999996" bottom="0.78740157499999996" header="0.31496062000000002" footer="0.31496062000000002"/>
  <pageSetup paperSize="9" scale="37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xWindow="1334" yWindow="469" count="4">
        <x14:dataValidation type="list" allowBlank="1" showInputMessage="1" showErrorMessage="1" prompt="ATENÇÃO.  Esta etapa apresenta informações sobre situações específicas que requerem maior atenção na realização do procedimento.   " xr:uid="{880769D1-DCBF-4B11-AADD-CF18D0ADC3D6}">
          <x14:formula1>
            <xm:f>listas!$A$21:$A$32</xm:f>
          </x14:formula1>
          <xm:sqref>D34</xm:sqref>
        </x14:dataValidation>
        <x14:dataValidation type="list" allowBlank="1" showInputMessage="1" showErrorMessage="1" prompt="Nesta etapa orientativa, você poderá consultar os detalhes sobre a documentação necessária para realizar procedimentos." xr:uid="{9DA9F331-F7F8-49ED-85F7-1EB03E89034F}">
          <x14:formula1>
            <xm:f>listas!$A$3:$A$19</xm:f>
          </x14:formula1>
          <xm:sqref>D2</xm:sqref>
        </x14:dataValidation>
        <x14:dataValidation type="list" allowBlank="1" showInputMessage="1" showErrorMessage="1" prompt="Nesta aba há informações sobre os detalhes de lançamentos no Sagicon e GED que deverão ser observados ao final da realização dos procedimentos." xr:uid="{32CFAC97-B855-483F-B044-25602DAA46C2}">
          <x14:formula1>
            <xm:f>listas!$A$34:$A$41</xm:f>
          </x14:formula1>
          <xm:sqref>D60</xm:sqref>
        </x14:dataValidation>
        <x14:dataValidation type="list" allowBlank="1" showInputMessage="1" showErrorMessage="1" prompt="Esta aba resume, os prazos e a carga horária necessária para cobertura da assistência técnica conforme o ramo de atividade empresarial. " xr:uid="{417D073A-6DA3-4744-8270-D4A9577CE395}">
          <x14:formula1>
            <xm:f>listas!$A$43:$A$93</xm:f>
          </x14:formula1>
          <xm:sqref>D95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58676-A466-4ACD-A617-37F6EB7EEBDE}">
  <sheetPr codeName="Planilha4"/>
  <dimension ref="A1:XFD19"/>
  <sheetViews>
    <sheetView showGridLines="0" topLeftCell="A2" workbookViewId="0">
      <selection activeCell="B2" sqref="B2"/>
    </sheetView>
  </sheetViews>
  <sheetFormatPr defaultColWidth="0" defaultRowHeight="15" zeroHeight="1" x14ac:dyDescent="0.25"/>
  <cols>
    <col min="1" max="1" width="3" customWidth="1"/>
    <col min="2" max="2" width="198.85546875" style="91" customWidth="1"/>
    <col min="3" max="3" width="9.140625" style="111" customWidth="1"/>
    <col min="4" max="16382" width="9.140625" hidden="1"/>
    <col min="16383" max="16383" width="2.7109375" hidden="1"/>
    <col min="16384" max="16384" width="5.28515625" hidden="1"/>
  </cols>
  <sheetData>
    <row r="1" spans="1:3 16384:16384" hidden="1" x14ac:dyDescent="0.25">
      <c r="B1"/>
      <c r="C1"/>
    </row>
    <row r="2" spans="1:3 16384:16384" ht="24.75" customHeight="1" x14ac:dyDescent="0.25">
      <c r="A2" s="111"/>
      <c r="B2" s="62" t="s">
        <v>92</v>
      </c>
      <c r="XFD2" s="111"/>
    </row>
    <row r="3" spans="1:3 16384:16384" ht="23.25" x14ac:dyDescent="0.35">
      <c r="A3" s="111"/>
      <c r="B3" s="112" t="s">
        <v>109</v>
      </c>
      <c r="XFD3" s="111"/>
    </row>
    <row r="4" spans="1:3 16384:16384" ht="15.75" thickBot="1" x14ac:dyDescent="0.3">
      <c r="A4" s="111"/>
      <c r="B4" s="110" t="s">
        <v>114</v>
      </c>
      <c r="XFD4" s="111"/>
    </row>
    <row r="5" spans="1:3 16384:16384" ht="297" customHeight="1" thickBot="1" x14ac:dyDescent="0.3">
      <c r="A5" s="111"/>
      <c r="B5" s="37" t="str">
        <f>VLOOKUP(B2,[2]Planilha1!$A$1:$B$46,2,0)</f>
        <v xml:space="preserve">PROTOCOLO INDEFERIDO.
Não é possível realizar o ingresso de DAP em estabelecimentos irregulares, conforme Artigo 3º da deliberação do CRF nº1004/2021.
Deverão primeiro regularizar o estabelecimento com assistência integral e após isso, reiniciar o procedimento via CRF EM CASA, reencaminhando toda a documentação. </v>
      </c>
      <c r="XFD5" s="111"/>
    </row>
    <row r="18" spans="2:2" hidden="1" x14ac:dyDescent="0.25">
      <c r="B18"/>
    </row>
    <row r="19" spans="2:2" hidden="1" x14ac:dyDescent="0.25">
      <c r="B19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xWindow="1426" yWindow="233" count="1">
        <x14:dataValidation type="list" allowBlank="1" showInputMessage="1" showErrorMessage="1" prompt="Escolha conforme a necessidade; em alguns casos, será necessário o uso de duas ou mais respostas padrão. Fique atento a essa situação." xr:uid="{FBADC008-FBD0-4D8A-B838-D784D3341176}">
          <x14:formula1>
            <xm:f>listas!$C$2:$C$47</xm:f>
          </x14:formula1>
          <xm:sqref>B2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20239-26FE-4C8A-BC32-BB4D364A180E}">
  <sheetPr codeName="Planilha5"/>
  <dimension ref="F1:R21"/>
  <sheetViews>
    <sheetView showGridLines="0" showRowColHeaders="0" topLeftCell="F1" workbookViewId="0">
      <selection activeCell="F12" sqref="F12:Q12"/>
    </sheetView>
  </sheetViews>
  <sheetFormatPr defaultColWidth="0" defaultRowHeight="15" zeroHeight="1" x14ac:dyDescent="0.25"/>
  <cols>
    <col min="1" max="5" width="9.140625" hidden="1" customWidth="1"/>
    <col min="6" max="6" width="55.140625" bestFit="1" customWidth="1"/>
    <col min="7" max="7" width="15" bestFit="1" customWidth="1"/>
    <col min="8" max="8" width="16.7109375" customWidth="1"/>
    <col min="9" max="9" width="13.5703125" bestFit="1" customWidth="1"/>
    <col min="10" max="10" width="9.140625" customWidth="1"/>
    <col min="11" max="11" width="13.5703125" bestFit="1" customWidth="1"/>
    <col min="12" max="12" width="9.140625" customWidth="1"/>
    <col min="13" max="13" width="15.28515625" bestFit="1" customWidth="1"/>
    <col min="14" max="14" width="9.140625" customWidth="1"/>
    <col min="15" max="15" width="15.140625" bestFit="1" customWidth="1"/>
    <col min="16" max="16" width="9.140625" customWidth="1"/>
    <col min="17" max="17" width="13.5703125" bestFit="1" customWidth="1"/>
    <col min="18" max="18" width="9.140625" customWidth="1"/>
    <col min="19" max="16384" width="9.140625" hidden="1"/>
  </cols>
  <sheetData>
    <row r="1" spans="6:17" x14ac:dyDescent="0.25"/>
    <row r="2" spans="6:17" x14ac:dyDescent="0.25"/>
    <row r="3" spans="6:17" ht="17.25" x14ac:dyDescent="0.3">
      <c r="F3" s="128" t="s">
        <v>304</v>
      </c>
      <c r="G3" s="128"/>
      <c r="H3" s="6"/>
      <c r="I3" s="68" t="s">
        <v>287</v>
      </c>
      <c r="J3" s="69"/>
      <c r="K3" s="68" t="s">
        <v>151</v>
      </c>
      <c r="L3" s="69"/>
      <c r="M3" s="68" t="s">
        <v>288</v>
      </c>
      <c r="N3" s="69"/>
      <c r="O3" s="68" t="s">
        <v>286</v>
      </c>
      <c r="P3" s="69"/>
      <c r="Q3" s="68" t="s">
        <v>289</v>
      </c>
    </row>
    <row r="4" spans="6:17" ht="25.5" x14ac:dyDescent="0.5">
      <c r="F4" s="129"/>
      <c r="G4" s="129"/>
      <c r="H4" s="70"/>
      <c r="I4" s="100" t="str">
        <f>IF($F$4="","",(VLOOKUP($F$4,[3]cidades!$A$2:$P$400,3,FALSE)))</f>
        <v/>
      </c>
      <c r="J4" s="76"/>
      <c r="K4" s="100" t="str">
        <f>IF($F$4="","",(VLOOKUP($F$4,[3]cidades!$A$2:$P$400,15,FALSE)))</f>
        <v/>
      </c>
      <c r="L4" s="76"/>
      <c r="M4" s="100" t="str">
        <f>IF($F$4="","",(VLOOKUP($F$4,[3]cidades!$A$2:$P$400,6,FALSE)))</f>
        <v/>
      </c>
      <c r="N4" s="76"/>
      <c r="O4" s="100" t="str">
        <f>IF($F$4="","",(VLOOKUP($F$4,[3]cidades!$A$2:$P$400,9,FALSE)))</f>
        <v/>
      </c>
      <c r="P4" s="76"/>
      <c r="Q4" s="100" t="str">
        <f>IF($F$4="","",(VLOOKUP($F$4,[3]cidades!$A$2:$P$400,12,FALSE)))</f>
        <v/>
      </c>
    </row>
    <row r="5" spans="6:17" x14ac:dyDescent="0.25">
      <c r="I5" s="104"/>
      <c r="J5" s="71"/>
    </row>
    <row r="6" spans="6:17" x14ac:dyDescent="0.25">
      <c r="G6" t="s">
        <v>290</v>
      </c>
      <c r="I6" s="105" t="e">
        <f>I4/220</f>
        <v>#VALUE!</v>
      </c>
      <c r="J6" s="101"/>
      <c r="K6" s="105" t="e">
        <f>K4/220</f>
        <v>#VALUE!</v>
      </c>
      <c r="L6" s="102"/>
      <c r="M6" s="105" t="e">
        <f>M4/220</f>
        <v>#VALUE!</v>
      </c>
      <c r="N6" s="102"/>
      <c r="O6" s="105" t="e">
        <f>O4/220</f>
        <v>#VALUE!</v>
      </c>
      <c r="P6" s="102"/>
      <c r="Q6" s="105" t="e">
        <f>Q4/220</f>
        <v>#VALUE!</v>
      </c>
    </row>
    <row r="7" spans="6:17" x14ac:dyDescent="0.25">
      <c r="I7" s="103"/>
      <c r="J7" s="71"/>
      <c r="K7" s="71"/>
      <c r="M7" s="71"/>
      <c r="O7" s="71"/>
      <c r="Q7" s="71"/>
    </row>
    <row r="8" spans="6:17" x14ac:dyDescent="0.25">
      <c r="G8" s="132" t="s">
        <v>291</v>
      </c>
      <c r="H8" s="132"/>
      <c r="I8" s="132"/>
      <c r="J8" s="132"/>
      <c r="K8" s="68"/>
      <c r="L8" s="68"/>
      <c r="O8" s="71"/>
      <c r="Q8" s="71"/>
    </row>
    <row r="9" spans="6:17" ht="17.25" x14ac:dyDescent="0.25">
      <c r="G9" s="98"/>
      <c r="H9" s="100" t="str">
        <f>IF($F$4="","",(VLOOKUP($F$4,[3]cidades!$A$2:$P$400,4,FALSE)))</f>
        <v/>
      </c>
      <c r="I9" s="99"/>
      <c r="J9" s="99"/>
      <c r="K9" s="83"/>
      <c r="L9" s="106"/>
      <c r="M9" s="83"/>
      <c r="O9" s="71"/>
      <c r="Q9" s="71"/>
    </row>
    <row r="10" spans="6:17" x14ac:dyDescent="0.25">
      <c r="I10" s="71"/>
      <c r="J10" s="71"/>
    </row>
    <row r="11" spans="6:17" x14ac:dyDescent="0.25">
      <c r="I11" s="71"/>
      <c r="J11" s="71"/>
    </row>
    <row r="12" spans="6:17" x14ac:dyDescent="0.25"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</row>
    <row r="13" spans="6:17" ht="35.1" customHeight="1" x14ac:dyDescent="0.25">
      <c r="F13" s="131" t="s">
        <v>307</v>
      </c>
      <c r="G13" s="131"/>
      <c r="H13" s="107"/>
      <c r="I13" s="108">
        <v>0</v>
      </c>
      <c r="J13" s="71"/>
    </row>
    <row r="14" spans="6:17" ht="18.75" x14ac:dyDescent="0.3">
      <c r="F14" s="72"/>
      <c r="G14" s="72"/>
      <c r="H14" s="72"/>
      <c r="I14" s="72"/>
      <c r="J14" s="73"/>
      <c r="L14" s="74"/>
    </row>
    <row r="15" spans="6:17" ht="18.75" x14ac:dyDescent="0.3">
      <c r="M15" s="75"/>
      <c r="N15" s="75"/>
      <c r="O15" s="75"/>
      <c r="P15" s="75"/>
      <c r="Q15" s="75"/>
    </row>
    <row r="16" spans="6:17" x14ac:dyDescent="0.25"/>
    <row r="17" spans="9:17" x14ac:dyDescent="0.25">
      <c r="I17" s="68" t="s">
        <v>287</v>
      </c>
      <c r="J17" s="69"/>
      <c r="K17" s="68" t="s">
        <v>151</v>
      </c>
      <c r="L17" s="69"/>
      <c r="M17" s="68" t="s">
        <v>288</v>
      </c>
      <c r="N17" s="69"/>
      <c r="O17" s="68" t="s">
        <v>286</v>
      </c>
      <c r="P17" s="69"/>
      <c r="Q17" s="68" t="s">
        <v>289</v>
      </c>
    </row>
    <row r="18" spans="9:17" ht="17.25" x14ac:dyDescent="0.25">
      <c r="I18" s="109" t="e">
        <f>IF($I13="","",(I4/44*$I13))</f>
        <v>#VALUE!</v>
      </c>
      <c r="J18" s="76"/>
      <c r="K18" s="109" t="e">
        <f>IF($I13="","",(K4/44*$I13))</f>
        <v>#VALUE!</v>
      </c>
      <c r="L18" s="76"/>
      <c r="M18" s="109" t="e">
        <f>IF($I13="","",(M4/44*$I13))</f>
        <v>#VALUE!</v>
      </c>
      <c r="N18" s="76"/>
      <c r="O18" s="109" t="e">
        <f>IF($I13="","",(O4/44*$I13))</f>
        <v>#VALUE!</v>
      </c>
      <c r="P18" s="76"/>
      <c r="Q18" s="109" t="e">
        <f>IF($I13="","",(Q4/44*$I13))</f>
        <v>#VALUE!</v>
      </c>
    </row>
    <row r="19" spans="9:17" x14ac:dyDescent="0.25"/>
    <row r="20" spans="9:17" x14ac:dyDescent="0.25"/>
    <row r="21" spans="9:17" x14ac:dyDescent="0.25"/>
  </sheetData>
  <protectedRanges>
    <protectedRange sqref="F4 I13" name="Intervalo1_1"/>
  </protectedRanges>
  <mergeCells count="5">
    <mergeCell ref="F3:G3"/>
    <mergeCell ref="F4:G4"/>
    <mergeCell ref="F12:Q12"/>
    <mergeCell ref="F13:G13"/>
    <mergeCell ref="G8:J8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34617-62DE-4AED-ABD4-AA6C4E05EA61}">
  <sheetPr codeName="Planilha6"/>
  <dimension ref="A1:F27"/>
  <sheetViews>
    <sheetView showGridLines="0" topLeftCell="A15" workbookViewId="0">
      <selection activeCell="D23" sqref="D23"/>
    </sheetView>
  </sheetViews>
  <sheetFormatPr defaultColWidth="0" defaultRowHeight="15" zeroHeight="1" x14ac:dyDescent="0.25"/>
  <cols>
    <col min="1" max="1" width="2.7109375" customWidth="1"/>
    <col min="2" max="2" width="31.42578125" customWidth="1"/>
    <col min="3" max="3" width="9.140625" style="38" customWidth="1"/>
    <col min="4" max="4" width="10.28515625" style="90" bestFit="1" customWidth="1"/>
    <col min="5" max="5" width="150.7109375" customWidth="1"/>
    <col min="6" max="6" width="0" hidden="1" customWidth="1"/>
    <col min="7" max="16384" width="9.140625" hidden="1"/>
  </cols>
  <sheetData>
    <row r="1" spans="2:5" x14ac:dyDescent="0.25">
      <c r="D1" s="38"/>
    </row>
    <row r="2" spans="2:5" s="67" customFormat="1" ht="20.100000000000001" customHeight="1" x14ac:dyDescent="0.25">
      <c r="B2" s="81" t="s">
        <v>155</v>
      </c>
      <c r="C2" s="81" t="s">
        <v>156</v>
      </c>
      <c r="D2" s="81" t="s">
        <v>168</v>
      </c>
      <c r="E2" s="81" t="s">
        <v>157</v>
      </c>
    </row>
    <row r="3" spans="2:5" s="65" customFormat="1" ht="20.100000000000001" customHeight="1" x14ac:dyDescent="0.25">
      <c r="B3" s="65" t="s">
        <v>271</v>
      </c>
      <c r="C3" s="82" t="s">
        <v>231</v>
      </c>
      <c r="D3" s="89" t="s">
        <v>231</v>
      </c>
      <c r="E3" s="65" t="s">
        <v>272</v>
      </c>
    </row>
    <row r="4" spans="2:5" s="65" customFormat="1" ht="20.100000000000001" customHeight="1" x14ac:dyDescent="0.25">
      <c r="B4" s="65" t="s">
        <v>298</v>
      </c>
      <c r="C4" s="82" t="s">
        <v>231</v>
      </c>
      <c r="D4" s="89" t="s">
        <v>231</v>
      </c>
      <c r="E4" s="65" t="s">
        <v>299</v>
      </c>
    </row>
    <row r="5" spans="2:5" s="65" customFormat="1" ht="20.100000000000001" customHeight="1" x14ac:dyDescent="0.25">
      <c r="B5" s="65" t="s">
        <v>275</v>
      </c>
      <c r="C5" s="82" t="s">
        <v>158</v>
      </c>
      <c r="D5" s="89" t="s">
        <v>158</v>
      </c>
      <c r="E5" s="65" t="s">
        <v>265</v>
      </c>
    </row>
    <row r="6" spans="2:5" s="65" customFormat="1" ht="20.100000000000001" customHeight="1" x14ac:dyDescent="0.25">
      <c r="B6" s="65" t="s">
        <v>273</v>
      </c>
      <c r="C6" s="82" t="s">
        <v>159</v>
      </c>
      <c r="D6" s="89" t="s">
        <v>159</v>
      </c>
      <c r="E6" s="65" t="s">
        <v>266</v>
      </c>
    </row>
    <row r="7" spans="2:5" s="65" customFormat="1" ht="20.100000000000001" customHeight="1" x14ac:dyDescent="0.25">
      <c r="B7" s="65" t="s">
        <v>285</v>
      </c>
      <c r="C7" s="82" t="s">
        <v>160</v>
      </c>
      <c r="D7" s="89" t="s">
        <v>160</v>
      </c>
      <c r="E7" s="65" t="s">
        <v>267</v>
      </c>
    </row>
    <row r="8" spans="2:5" s="65" customFormat="1" ht="20.100000000000001" customHeight="1" x14ac:dyDescent="0.25">
      <c r="B8" s="65" t="s">
        <v>274</v>
      </c>
      <c r="C8" s="82" t="s">
        <v>161</v>
      </c>
      <c r="D8" s="89" t="s">
        <v>161</v>
      </c>
      <c r="E8" s="65" t="s">
        <v>268</v>
      </c>
    </row>
    <row r="9" spans="2:5" s="65" customFormat="1" ht="20.100000000000001" customHeight="1" x14ac:dyDescent="0.25">
      <c r="B9" s="65" t="s">
        <v>280</v>
      </c>
      <c r="C9" s="82" t="s">
        <v>162</v>
      </c>
      <c r="D9" s="89" t="s">
        <v>169</v>
      </c>
      <c r="E9" s="65" t="s">
        <v>300</v>
      </c>
    </row>
    <row r="10" spans="2:5" s="65" customFormat="1" ht="20.100000000000001" customHeight="1" x14ac:dyDescent="0.25">
      <c r="B10" s="65" t="s">
        <v>284</v>
      </c>
      <c r="C10" s="82" t="s">
        <v>163</v>
      </c>
      <c r="D10" s="89" t="s">
        <v>163</v>
      </c>
      <c r="E10" s="65" t="s">
        <v>269</v>
      </c>
    </row>
    <row r="11" spans="2:5" s="65" customFormat="1" ht="20.100000000000001" customHeight="1" x14ac:dyDescent="0.25">
      <c r="B11" s="65" t="s">
        <v>295</v>
      </c>
      <c r="C11" s="82" t="s">
        <v>158</v>
      </c>
      <c r="D11" s="89" t="s">
        <v>158</v>
      </c>
      <c r="E11" s="65" t="s">
        <v>361</v>
      </c>
    </row>
    <row r="12" spans="2:5" s="65" customFormat="1" ht="20.100000000000001" customHeight="1" x14ac:dyDescent="0.25">
      <c r="B12" s="65" t="s">
        <v>296</v>
      </c>
      <c r="C12" s="82" t="s">
        <v>158</v>
      </c>
      <c r="D12" s="89" t="s">
        <v>158</v>
      </c>
      <c r="E12" s="65" t="s">
        <v>303</v>
      </c>
    </row>
    <row r="13" spans="2:5" s="65" customFormat="1" ht="20.100000000000001" customHeight="1" x14ac:dyDescent="0.25">
      <c r="B13" s="65" t="s">
        <v>297</v>
      </c>
      <c r="C13" s="82" t="s">
        <v>158</v>
      </c>
      <c r="D13" s="89" t="s">
        <v>158</v>
      </c>
      <c r="E13" s="65" t="s">
        <v>164</v>
      </c>
    </row>
    <row r="14" spans="2:5" s="65" customFormat="1" ht="20.100000000000001" customHeight="1" x14ac:dyDescent="0.25">
      <c r="B14" s="65" t="s">
        <v>276</v>
      </c>
      <c r="C14" s="82" t="s">
        <v>161</v>
      </c>
      <c r="D14" s="89" t="s">
        <v>161</v>
      </c>
      <c r="E14" s="65" t="s">
        <v>302</v>
      </c>
    </row>
    <row r="15" spans="2:5" s="65" customFormat="1" ht="20.100000000000001" customHeight="1" x14ac:dyDescent="0.25">
      <c r="B15" s="65" t="s">
        <v>283</v>
      </c>
      <c r="C15" s="82" t="s">
        <v>161</v>
      </c>
      <c r="D15" s="89" t="s">
        <v>161</v>
      </c>
      <c r="E15" s="65" t="s">
        <v>301</v>
      </c>
    </row>
    <row r="16" spans="2:5" s="65" customFormat="1" ht="20.100000000000001" customHeight="1" x14ac:dyDescent="0.25">
      <c r="B16" s="65" t="s">
        <v>292</v>
      </c>
      <c r="C16" s="82" t="s">
        <v>161</v>
      </c>
      <c r="D16" s="89" t="s">
        <v>161</v>
      </c>
      <c r="E16" s="65" t="s">
        <v>165</v>
      </c>
    </row>
    <row r="17" spans="2:5" s="65" customFormat="1" ht="20.100000000000001" customHeight="1" x14ac:dyDescent="0.25">
      <c r="B17" s="65" t="s">
        <v>166</v>
      </c>
      <c r="C17" s="82" t="s">
        <v>163</v>
      </c>
      <c r="D17" s="89" t="s">
        <v>163</v>
      </c>
      <c r="E17" s="65" t="s">
        <v>270</v>
      </c>
    </row>
    <row r="18" spans="2:5" s="65" customFormat="1" ht="20.100000000000001" customHeight="1" x14ac:dyDescent="0.25">
      <c r="B18" s="65" t="s">
        <v>293</v>
      </c>
      <c r="C18" s="82" t="s">
        <v>162</v>
      </c>
      <c r="D18" s="89" t="s">
        <v>162</v>
      </c>
      <c r="E18" s="65" t="s">
        <v>167</v>
      </c>
    </row>
    <row r="19" spans="2:5" s="65" customFormat="1" ht="20.100000000000001" customHeight="1" x14ac:dyDescent="0.25">
      <c r="B19" s="65" t="s">
        <v>294</v>
      </c>
      <c r="C19" s="82" t="s">
        <v>162</v>
      </c>
      <c r="D19" s="89" t="s">
        <v>162</v>
      </c>
      <c r="E19" s="65" t="s">
        <v>167</v>
      </c>
    </row>
    <row r="20" spans="2:5" s="65" customFormat="1" ht="20.100000000000001" customHeight="1" x14ac:dyDescent="0.25">
      <c r="B20" s="65" t="s">
        <v>279</v>
      </c>
      <c r="C20" s="82" t="s">
        <v>231</v>
      </c>
      <c r="D20" s="89" t="s">
        <v>231</v>
      </c>
      <c r="E20" s="66" t="s">
        <v>281</v>
      </c>
    </row>
    <row r="21" spans="2:5" s="65" customFormat="1" ht="20.100000000000001" customHeight="1" x14ac:dyDescent="0.25">
      <c r="B21" s="65" t="s">
        <v>278</v>
      </c>
      <c r="C21" s="82" t="s">
        <v>277</v>
      </c>
      <c r="D21" s="89" t="s">
        <v>277</v>
      </c>
      <c r="E21" s="65" t="s">
        <v>171</v>
      </c>
    </row>
    <row r="22" spans="2:5" s="65" customFormat="1" ht="20.100000000000001" customHeight="1" x14ac:dyDescent="0.25">
      <c r="B22" s="65" t="s">
        <v>282</v>
      </c>
      <c r="C22" s="82" t="s">
        <v>161</v>
      </c>
      <c r="D22" s="89" t="s">
        <v>161</v>
      </c>
      <c r="E22" s="65" t="s">
        <v>172</v>
      </c>
    </row>
    <row r="23" spans="2:5" ht="20.100000000000001" customHeight="1" x14ac:dyDescent="0.25">
      <c r="B23" t="s">
        <v>365</v>
      </c>
      <c r="C23" s="38" t="s">
        <v>161</v>
      </c>
      <c r="D23" s="127" t="s">
        <v>161</v>
      </c>
      <c r="E23" t="s">
        <v>364</v>
      </c>
    </row>
    <row r="24" spans="2:5" x14ac:dyDescent="0.25"/>
    <row r="25" spans="2:5" x14ac:dyDescent="0.25"/>
    <row r="26" spans="2:5" x14ac:dyDescent="0.25"/>
    <row r="27" spans="2:5" x14ac:dyDescent="0.25"/>
  </sheetData>
  <hyperlinks>
    <hyperlink ref="D5" r:id="rId1" tooltip="RESOLUÇÃO" xr:uid="{0EF2D53E-77C5-40D6-A7A0-A72BABD5A2AD}"/>
    <hyperlink ref="D6" r:id="rId2" xr:uid="{2FDD05FF-7C6D-411D-91DB-65198DAE1E7D}"/>
    <hyperlink ref="D7" r:id="rId3" xr:uid="{2DA8943B-9880-4ADB-B25D-192F94A53596}"/>
    <hyperlink ref="D8" r:id="rId4" xr:uid="{9142DB52-CE83-45C3-903E-99B2FC82D731}"/>
    <hyperlink ref="D9" r:id="rId5" xr:uid="{F5C02404-50FD-4D2A-9B9E-C807661E17E9}"/>
    <hyperlink ref="D10" r:id="rId6" xr:uid="{542A214E-2346-4CF0-A2AA-D25EA03E3FCA}"/>
    <hyperlink ref="D11" r:id="rId7" xr:uid="{773A2D9C-DFE9-4A78-8D14-89E2311CB7FE}"/>
    <hyperlink ref="D13" r:id="rId8" xr:uid="{D802EA8C-69B9-4095-A8EF-07757AA033E8}"/>
    <hyperlink ref="D12" r:id="rId9" xr:uid="{667D8822-702D-4F68-A73C-4112E1DE5813}"/>
    <hyperlink ref="D14" r:id="rId10" xr:uid="{3B0E84DB-6DB1-4BC9-863E-8C0D67C70DDB}"/>
    <hyperlink ref="D15" r:id="rId11" xr:uid="{EDCAAE10-B944-4F9D-96E1-E991486C653B}"/>
    <hyperlink ref="D16" r:id="rId12" xr:uid="{1893CFAA-C3F4-4CBB-B45E-90D814BB484C}"/>
    <hyperlink ref="D17" r:id="rId13" xr:uid="{4998BAE8-6181-4489-A4AE-17A7B0E437DD}"/>
    <hyperlink ref="D18" r:id="rId14" location="art1" xr:uid="{E4839DC9-9DF9-4243-9B2F-D47303585891}"/>
    <hyperlink ref="D19" r:id="rId15" xr:uid="{9A7194F5-3DD0-4B51-9CCF-7C98E150FDFF}"/>
    <hyperlink ref="D20" r:id="rId16" xr:uid="{D5964F49-D12A-442F-873B-4D33709727AE}"/>
    <hyperlink ref="D3" r:id="rId17" xr:uid="{5A1396CD-7107-40A0-8BD7-D6E7BF134AC4}"/>
    <hyperlink ref="D4" r:id="rId18" xr:uid="{2E429488-71BF-42A8-AA05-CA38F64861B0}"/>
    <hyperlink ref="D21" r:id="rId19" xr:uid="{D90B4741-52F8-44D6-8725-AB920D6D325C}"/>
    <hyperlink ref="D22" r:id="rId20" xr:uid="{BC0BCDB7-3FBB-4B60-B35A-9CFB00D7F696}"/>
    <hyperlink ref="D23" r:id="rId21" xr:uid="{27FE54FD-36FD-4921-9294-CE91E02BB2DF}"/>
  </hyperlink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B1B3-EEE0-4386-A6CE-93C5AB97A590}">
  <sheetPr codeName="Planilha7"/>
  <dimension ref="A1:I16"/>
  <sheetViews>
    <sheetView showGridLines="0" workbookViewId="0">
      <selection activeCell="B2" sqref="B2:H2"/>
    </sheetView>
  </sheetViews>
  <sheetFormatPr defaultColWidth="0" defaultRowHeight="15" zeroHeight="1" x14ac:dyDescent="0.25"/>
  <cols>
    <col min="1" max="1" width="7.7109375" style="93" customWidth="1"/>
    <col min="2" max="2" width="24.7109375" customWidth="1"/>
    <col min="3" max="3" width="95.28515625" customWidth="1"/>
    <col min="4" max="4" width="1.140625" customWidth="1"/>
    <col min="5" max="8" width="9.140625" customWidth="1"/>
    <col min="9" max="9" width="9.140625" style="93" customWidth="1"/>
    <col min="10" max="16384" width="9.140625" hidden="1"/>
  </cols>
  <sheetData>
    <row r="1" spans="2:8" ht="28.5" customHeight="1" x14ac:dyDescent="0.35">
      <c r="B1" s="93"/>
      <c r="C1" s="92"/>
      <c r="D1" s="93"/>
      <c r="E1" s="93"/>
      <c r="F1" s="93"/>
      <c r="G1" s="93"/>
      <c r="H1" s="93"/>
    </row>
    <row r="2" spans="2:8" ht="24.75" customHeight="1" x14ac:dyDescent="0.25">
      <c r="B2" s="135" t="s">
        <v>234</v>
      </c>
      <c r="C2" s="135"/>
      <c r="D2" s="135"/>
      <c r="E2" s="135"/>
      <c r="F2" s="135"/>
      <c r="G2" s="135"/>
      <c r="H2" s="135"/>
    </row>
    <row r="3" spans="2:8" ht="9.9499999999999993" customHeight="1" x14ac:dyDescent="0.25">
      <c r="B3" s="136" t="s">
        <v>305</v>
      </c>
      <c r="C3" s="136"/>
      <c r="D3" s="136"/>
      <c r="E3" s="136"/>
      <c r="F3" s="136"/>
      <c r="G3" s="136"/>
      <c r="H3" s="136"/>
    </row>
    <row r="4" spans="2:8" x14ac:dyDescent="0.25">
      <c r="B4" s="136"/>
      <c r="C4" s="136"/>
      <c r="D4" s="136"/>
      <c r="E4" s="136"/>
      <c r="F4" s="136"/>
      <c r="G4" s="136"/>
      <c r="H4" s="136"/>
    </row>
    <row r="5" spans="2:8" ht="50.1" customHeight="1" x14ac:dyDescent="0.25">
      <c r="B5" s="133" t="str">
        <f>VLOOKUP($B$2,[4]Planilha1!$A$2:$I$36,2,0)</f>
        <v xml:space="preserve">DISTRIBUIDORA + NOME FANTASIA                        </v>
      </c>
      <c r="C5" s="134"/>
      <c r="D5" s="134"/>
      <c r="E5" s="134"/>
      <c r="F5" s="134"/>
      <c r="G5" s="134"/>
      <c r="H5" s="134"/>
    </row>
    <row r="6" spans="2:8" ht="18" customHeight="1" x14ac:dyDescent="0.25">
      <c r="B6" s="137"/>
      <c r="C6" s="137"/>
      <c r="D6" s="93"/>
      <c r="E6" s="93"/>
      <c r="F6" s="93"/>
      <c r="G6" s="93"/>
      <c r="H6" s="93"/>
    </row>
    <row r="7" spans="2:8" ht="30" customHeight="1" x14ac:dyDescent="0.25">
      <c r="B7" s="97" t="s">
        <v>306</v>
      </c>
      <c r="C7" s="138" t="s">
        <v>263</v>
      </c>
      <c r="D7" s="138"/>
      <c r="E7" s="138"/>
      <c r="F7" s="138"/>
      <c r="G7" s="138"/>
      <c r="H7" s="139"/>
    </row>
    <row r="8" spans="2:8" ht="18" customHeight="1" x14ac:dyDescent="0.25">
      <c r="B8" s="93"/>
      <c r="C8" s="94"/>
      <c r="D8" s="94"/>
      <c r="E8" s="94"/>
      <c r="F8" s="94"/>
      <c r="G8" s="94"/>
      <c r="H8" s="94"/>
    </row>
    <row r="9" spans="2:8" ht="30" customHeight="1" x14ac:dyDescent="0.25">
      <c r="B9" s="133" t="str">
        <f>VLOOKUP($B$2,[4]Planilha1!$A$2:$I$36,4,0)</f>
        <v>A IDENTIFICAÇÃO DO ESTABELECIMENTO NÃO DEVE SER ABREVIADA. EX. INCORRETO: DIST., HOSP., ETC</v>
      </c>
      <c r="C9" s="134"/>
      <c r="D9" s="134"/>
      <c r="E9" s="134"/>
      <c r="F9" s="134"/>
      <c r="G9" s="134"/>
      <c r="H9" s="134"/>
    </row>
    <row r="10" spans="2:8" ht="18" customHeight="1" x14ac:dyDescent="0.25">
      <c r="B10" s="93"/>
      <c r="C10" s="94"/>
      <c r="D10" s="94"/>
      <c r="E10" s="94"/>
      <c r="F10" s="94"/>
      <c r="G10" s="94"/>
      <c r="H10" s="94"/>
    </row>
    <row r="11" spans="2:8" ht="30" customHeight="1" x14ac:dyDescent="0.25">
      <c r="B11" s="133" t="str">
        <f>VLOOKUP($B$2,[4]Planilha1!$A$2:$I$36,5,0)</f>
        <v>NÃO COLOCAR "DISTRIBUIDORA DE MED." OU DE "CORRELATOS", POIS ESSAS CATEGORIAS JÁ SÃO SEPARADAS POR TIPO DE ESTABELECIMENTO</v>
      </c>
      <c r="C11" s="134"/>
      <c r="D11" s="134"/>
      <c r="E11" s="134"/>
      <c r="F11" s="134"/>
      <c r="G11" s="134"/>
      <c r="H11" s="134"/>
    </row>
    <row r="12" spans="2:8" ht="18" customHeight="1" x14ac:dyDescent="0.25">
      <c r="B12" s="95"/>
      <c r="C12" s="96"/>
      <c r="D12" s="96"/>
      <c r="E12" s="96"/>
      <c r="F12" s="96"/>
      <c r="G12" s="96"/>
      <c r="H12" s="96"/>
    </row>
    <row r="13" spans="2:8" ht="30" customHeight="1" x14ac:dyDescent="0.25">
      <c r="B13" s="133" t="str">
        <f>VLOOKUP($B$2,[4]Planilha1!$A$2:$I$36,6,0)</f>
        <v>*</v>
      </c>
      <c r="C13" s="134"/>
      <c r="D13" s="134"/>
      <c r="E13" s="134"/>
      <c r="F13" s="134"/>
      <c r="G13" s="134"/>
      <c r="H13" s="134"/>
    </row>
    <row r="14" spans="2:8" ht="18" customHeight="1" x14ac:dyDescent="0.25">
      <c r="B14" s="93"/>
      <c r="C14" s="94"/>
      <c r="D14" s="94"/>
      <c r="E14" s="94"/>
      <c r="F14" s="94"/>
      <c r="G14" s="94"/>
      <c r="H14" s="94"/>
    </row>
    <row r="15" spans="2:8" ht="30" customHeight="1" x14ac:dyDescent="0.25">
      <c r="B15" s="133" t="str">
        <f>VLOOKUP($B$2,[4]Planilha1!$A$2:$I$36,7,0)</f>
        <v>A RAZÃO SOCIAL DEVE SEGUIR O MESMO PADRÃO DO CARTÃO CNPJ</v>
      </c>
      <c r="C15" s="134"/>
      <c r="D15" s="134"/>
      <c r="E15" s="134"/>
      <c r="F15" s="134"/>
      <c r="G15" s="134"/>
      <c r="H15" s="134"/>
    </row>
    <row r="16" spans="2:8" ht="18" customHeight="1" x14ac:dyDescent="0.25">
      <c r="B16" s="93"/>
      <c r="C16" s="93"/>
      <c r="D16" s="93"/>
      <c r="E16" s="93"/>
      <c r="F16" s="93"/>
      <c r="G16" s="93"/>
      <c r="H16" s="93"/>
    </row>
  </sheetData>
  <sheetProtection selectLockedCells="1"/>
  <mergeCells count="9">
    <mergeCell ref="B15:H15"/>
    <mergeCell ref="B5:H5"/>
    <mergeCell ref="B2:H2"/>
    <mergeCell ref="B3:H4"/>
    <mergeCell ref="B6:C6"/>
    <mergeCell ref="C7:H7"/>
    <mergeCell ref="B9:H9"/>
    <mergeCell ref="B11:H11"/>
    <mergeCell ref="B13:H13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xWindow="1162" yWindow="367" count="1">
        <x14:dataValidation type="list" allowBlank="1" showInputMessage="1" showErrorMessage="1" prompt="Localize o padrão de acordo com o ramo da atividade. " xr:uid="{D5474C8A-AC89-4FE0-8F88-C0EB1433D504}">
          <x14:formula1>
            <xm:f>listas!$B$2:$B$36</xm:f>
          </x14:formula1>
          <xm:sqref>B2:H2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38735-A854-4F24-9656-1C2DBC0EE4BD}">
  <sheetPr codeName="Planilha8"/>
  <dimension ref="A1:XFD20"/>
  <sheetViews>
    <sheetView showGridLines="0" showRowColHeaders="0" topLeftCell="B1" workbookViewId="0">
      <pane xSplit="1" ySplit="2" topLeftCell="C3" activePane="bottomRight" state="frozen"/>
      <selection activeCell="B1" sqref="B1"/>
      <selection pane="topRight" activeCell="C1" sqref="C1"/>
      <selection pane="bottomLeft" activeCell="B5" sqref="B5"/>
      <selection pane="bottomRight" activeCell="G4" sqref="G4"/>
    </sheetView>
  </sheetViews>
  <sheetFormatPr defaultColWidth="0" defaultRowHeight="15" zeroHeight="1" x14ac:dyDescent="0.25"/>
  <cols>
    <col min="1" max="1" width="9.140625" style="111" hidden="1" customWidth="1"/>
    <col min="2" max="2" width="6.42578125" style="111" hidden="1" customWidth="1"/>
    <col min="3" max="3" width="24.85546875" style="117" bestFit="1" customWidth="1"/>
    <col min="4" max="4" width="4.85546875" style="111" customWidth="1"/>
    <col min="5" max="18" width="12" style="111" customWidth="1"/>
    <col min="19" max="16383" width="9.140625" style="111" hidden="1"/>
    <col min="16384" max="16384" width="8.42578125" style="111" customWidth="1"/>
  </cols>
  <sheetData>
    <row r="1" spans="1:18 16384:16384" x14ac:dyDescent="0.25">
      <c r="A1"/>
      <c r="B1"/>
    </row>
    <row r="2" spans="1:18 16384:16384" ht="15.75" thickBot="1" x14ac:dyDescent="0.3">
      <c r="A2"/>
      <c r="B2"/>
    </row>
    <row r="3" spans="1:18 16384:16384" customFormat="1" ht="15.75" thickBot="1" x14ac:dyDescent="0.3">
      <c r="B3" s="28"/>
      <c r="C3" s="117"/>
      <c r="D3" s="111"/>
      <c r="E3" s="148" t="s">
        <v>56</v>
      </c>
      <c r="F3" s="149"/>
      <c r="G3" s="150" t="s">
        <v>57</v>
      </c>
      <c r="H3" s="149"/>
      <c r="I3" s="150" t="s">
        <v>58</v>
      </c>
      <c r="J3" s="149"/>
      <c r="K3" s="150" t="s">
        <v>59</v>
      </c>
      <c r="L3" s="149"/>
      <c r="M3" s="150" t="s">
        <v>60</v>
      </c>
      <c r="N3" s="149"/>
      <c r="O3" s="150" t="s">
        <v>61</v>
      </c>
      <c r="P3" s="149"/>
      <c r="Q3" s="150" t="s">
        <v>62</v>
      </c>
      <c r="R3" s="168"/>
      <c r="XFD3" s="111"/>
    </row>
    <row r="4" spans="1:18 16384:16384" customFormat="1" x14ac:dyDescent="0.25">
      <c r="C4" s="117"/>
      <c r="D4" s="111"/>
      <c r="E4" s="29"/>
      <c r="F4" s="30"/>
      <c r="G4" s="29">
        <v>0.54166666666666663</v>
      </c>
      <c r="H4" s="30">
        <v>0.79166666666666663</v>
      </c>
      <c r="I4" s="29">
        <v>0.54166666666666663</v>
      </c>
      <c r="J4" s="30">
        <v>0.79166666666666663</v>
      </c>
      <c r="K4" s="29">
        <v>0.54166666666666663</v>
      </c>
      <c r="L4" s="30">
        <v>0.79166666666666663</v>
      </c>
      <c r="M4" s="29">
        <v>0.54166666666666663</v>
      </c>
      <c r="N4" s="30">
        <v>0.79166666666666663</v>
      </c>
      <c r="O4" s="29">
        <v>0.54166666666666663</v>
      </c>
      <c r="P4" s="30">
        <v>0.79166666666666663</v>
      </c>
      <c r="Q4" s="29"/>
      <c r="R4" s="115"/>
      <c r="XFD4" s="111"/>
    </row>
    <row r="5" spans="1:18 16384:16384" customFormat="1" ht="15.75" thickBot="1" x14ac:dyDescent="0.3">
      <c r="C5" s="117"/>
      <c r="D5" s="111"/>
      <c r="E5" s="31"/>
      <c r="F5" s="32"/>
      <c r="G5" s="31"/>
      <c r="H5" s="32"/>
      <c r="I5" s="31"/>
      <c r="J5" s="32"/>
      <c r="K5" s="31"/>
      <c r="L5" s="32"/>
      <c r="M5" s="31"/>
      <c r="N5" s="32"/>
      <c r="O5" s="31"/>
      <c r="P5" s="32"/>
      <c r="Q5" s="31"/>
      <c r="R5" s="116"/>
      <c r="XFD5" s="111"/>
    </row>
    <row r="6" spans="1:18 16384:16384" customFormat="1" x14ac:dyDescent="0.25">
      <c r="C6" s="7" t="s">
        <v>63</v>
      </c>
      <c r="D6" s="33"/>
      <c r="E6" s="144">
        <f>$F$4-$E$4</f>
        <v>0</v>
      </c>
      <c r="F6" s="145"/>
      <c r="G6" s="141">
        <f>$H$4-$G$4</f>
        <v>0.25</v>
      </c>
      <c r="H6" s="142"/>
      <c r="I6" s="141">
        <f>$J$4-$I$4</f>
        <v>0.25</v>
      </c>
      <c r="J6" s="142"/>
      <c r="K6" s="141">
        <f>$L$4-$K$4</f>
        <v>0.25</v>
      </c>
      <c r="L6" s="142"/>
      <c r="M6" s="141">
        <f>$N$4-$M$4</f>
        <v>0.25</v>
      </c>
      <c r="N6" s="142"/>
      <c r="O6" s="141">
        <f>$P$4-$O$4</f>
        <v>0.25</v>
      </c>
      <c r="P6" s="142"/>
      <c r="Q6" s="141">
        <f>$R$4-$Q$4</f>
        <v>0</v>
      </c>
      <c r="R6" s="157"/>
      <c r="XFD6" s="111"/>
    </row>
    <row r="7" spans="1:18 16384:16384" customFormat="1" x14ac:dyDescent="0.25">
      <c r="C7" s="7" t="s">
        <v>64</v>
      </c>
      <c r="D7" s="33"/>
      <c r="E7" s="143">
        <f>$F$5-$E$5</f>
        <v>0</v>
      </c>
      <c r="F7" s="140"/>
      <c r="G7" s="140">
        <f>$H$5-$G$5</f>
        <v>0</v>
      </c>
      <c r="H7" s="140"/>
      <c r="I7" s="140">
        <f>$J$5-$I$5</f>
        <v>0</v>
      </c>
      <c r="J7" s="140"/>
      <c r="K7" s="140">
        <f>$L$5-$K$5</f>
        <v>0</v>
      </c>
      <c r="L7" s="140"/>
      <c r="M7" s="140">
        <f>$N$5-$M$5</f>
        <v>0</v>
      </c>
      <c r="N7" s="140"/>
      <c r="O7" s="140">
        <f>$P$5-$O$5</f>
        <v>0</v>
      </c>
      <c r="P7" s="140"/>
      <c r="Q7" s="140">
        <f>$R$5-$Q$5</f>
        <v>0</v>
      </c>
      <c r="R7" s="169"/>
      <c r="XFD7" s="111"/>
    </row>
    <row r="8" spans="1:18 16384:16384" customFormat="1" x14ac:dyDescent="0.25">
      <c r="C8" s="8" t="s">
        <v>65</v>
      </c>
      <c r="D8" s="34"/>
      <c r="E8" s="146">
        <f>$E$5-$F$4</f>
        <v>0</v>
      </c>
      <c r="F8" s="147"/>
      <c r="G8" s="147">
        <f>$G$5-$H$4</f>
        <v>-0.79166666666666663</v>
      </c>
      <c r="H8" s="147"/>
      <c r="I8" s="147">
        <f>$I$5-$J$4</f>
        <v>-0.79166666666666663</v>
      </c>
      <c r="J8" s="147"/>
      <c r="K8" s="147">
        <f>$K$5-$L$4</f>
        <v>-0.79166666666666663</v>
      </c>
      <c r="L8" s="147"/>
      <c r="M8" s="147">
        <f>$M$5-$N$4</f>
        <v>-0.79166666666666663</v>
      </c>
      <c r="N8" s="147"/>
      <c r="O8" s="147">
        <f>$O$5-$P$4</f>
        <v>-0.79166666666666663</v>
      </c>
      <c r="P8" s="147"/>
      <c r="Q8" s="147">
        <f>$Q$5-$R$4</f>
        <v>0</v>
      </c>
      <c r="R8" s="166"/>
      <c r="XFD8" s="111"/>
    </row>
    <row r="9" spans="1:18 16384:16384" customFormat="1" ht="15.75" thickBot="1" x14ac:dyDescent="0.3">
      <c r="C9" s="9" t="s">
        <v>66</v>
      </c>
      <c r="D9" s="35"/>
      <c r="E9" s="164">
        <f>SUM($E$6:$F$7)</f>
        <v>0</v>
      </c>
      <c r="F9" s="165"/>
      <c r="G9" s="165">
        <f>SUM($G$6:$H$7)</f>
        <v>0.25</v>
      </c>
      <c r="H9" s="165"/>
      <c r="I9" s="165">
        <f>SUM($I$6:$J$7)</f>
        <v>0.25</v>
      </c>
      <c r="J9" s="165"/>
      <c r="K9" s="165">
        <f>SUM($K$6:$L$7)</f>
        <v>0.25</v>
      </c>
      <c r="L9" s="165"/>
      <c r="M9" s="165">
        <f>SUM($M$6:$N$7)</f>
        <v>0.25</v>
      </c>
      <c r="N9" s="165"/>
      <c r="O9" s="165">
        <f>SUM($O$6:$P$7)</f>
        <v>0.25</v>
      </c>
      <c r="P9" s="165"/>
      <c r="Q9" s="165">
        <f>SUM($Q$6:$R$7)</f>
        <v>0</v>
      </c>
      <c r="R9" s="167"/>
      <c r="XFD9" s="111"/>
    </row>
    <row r="10" spans="1:18 16384:16384" customFormat="1" ht="15.75" thickBot="1" x14ac:dyDescent="0.3">
      <c r="C10" s="10" t="s">
        <v>67</v>
      </c>
      <c r="D10" s="36"/>
      <c r="E10" s="158">
        <f>SUM($E$9:$R$9)</f>
        <v>1.25</v>
      </c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60"/>
      <c r="XFD10" s="111"/>
    </row>
    <row r="11" spans="1:18 16384:16384" ht="15.75" thickBot="1" x14ac:dyDescent="0.3"/>
    <row r="12" spans="1:18 16384:16384" customFormat="1" ht="5.0999999999999996" customHeight="1" x14ac:dyDescent="0.25">
      <c r="A12" s="111"/>
      <c r="B12" s="111"/>
      <c r="C12" s="117"/>
      <c r="D12" s="111"/>
      <c r="E12" s="56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9"/>
      <c r="XFD12" s="111"/>
    </row>
    <row r="13" spans="1:18 16384:16384" customFormat="1" x14ac:dyDescent="0.25">
      <c r="A13" s="111"/>
      <c r="B13" s="111"/>
      <c r="C13" s="117"/>
      <c r="D13" s="111"/>
      <c r="E13" s="161" t="s">
        <v>68</v>
      </c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3"/>
      <c r="XFD13" s="111"/>
    </row>
    <row r="14" spans="1:18 16384:16384" customFormat="1" ht="5.0999999999999996" customHeight="1" x14ac:dyDescent="0.25">
      <c r="A14" s="111"/>
      <c r="B14" s="111"/>
      <c r="C14" s="117"/>
      <c r="D14" s="111"/>
      <c r="E14" s="53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0"/>
      <c r="XFD14" s="111"/>
    </row>
    <row r="15" spans="1:18 16384:16384" customFormat="1" x14ac:dyDescent="0.25">
      <c r="A15" s="111"/>
      <c r="B15" s="111"/>
      <c r="C15" s="117"/>
      <c r="D15" s="111"/>
      <c r="E15" s="151" t="s">
        <v>69</v>
      </c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3"/>
      <c r="XFD15" s="111"/>
    </row>
    <row r="16" spans="1:18 16384:16384" customFormat="1" x14ac:dyDescent="0.25">
      <c r="A16" s="111"/>
      <c r="B16" s="111"/>
      <c r="C16" s="117"/>
      <c r="D16" s="111"/>
      <c r="E16" s="151" t="s">
        <v>71</v>
      </c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3"/>
      <c r="XFD16" s="111"/>
    </row>
    <row r="17" spans="1:18 16384:16384" customFormat="1" ht="5.0999999999999996" customHeight="1" x14ac:dyDescent="0.25">
      <c r="A17" s="111"/>
      <c r="B17" s="111"/>
      <c r="C17" s="117"/>
      <c r="D17" s="111"/>
      <c r="E17" s="53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0"/>
      <c r="XFD17" s="111"/>
    </row>
    <row r="18" spans="1:18 16384:16384" customFormat="1" ht="15.75" thickBot="1" x14ac:dyDescent="0.3">
      <c r="A18" s="111"/>
      <c r="B18" s="111"/>
      <c r="C18" s="117"/>
      <c r="D18" s="111"/>
      <c r="E18" s="154" t="s">
        <v>70</v>
      </c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6"/>
      <c r="XFD18" s="111"/>
    </row>
    <row r="19" spans="1:18 16384:16384" ht="5.0999999999999996" customHeight="1" x14ac:dyDescent="0.25"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</row>
    <row r="20" spans="1:18 16384:16384" ht="14.25" hidden="1" customHeight="1" x14ac:dyDescent="0.25"/>
  </sheetData>
  <mergeCells count="40">
    <mergeCell ref="Q9:R9"/>
    <mergeCell ref="O7:P7"/>
    <mergeCell ref="O3:P3"/>
    <mergeCell ref="Q3:R3"/>
    <mergeCell ref="O8:P8"/>
    <mergeCell ref="Q7:R7"/>
    <mergeCell ref="E16:R16"/>
    <mergeCell ref="E18:R18"/>
    <mergeCell ref="M6:N6"/>
    <mergeCell ref="O6:P6"/>
    <mergeCell ref="Q6:R6"/>
    <mergeCell ref="E10:R10"/>
    <mergeCell ref="E13:R13"/>
    <mergeCell ref="E15:R15"/>
    <mergeCell ref="E9:F9"/>
    <mergeCell ref="G9:H9"/>
    <mergeCell ref="I9:J9"/>
    <mergeCell ref="K9:L9"/>
    <mergeCell ref="M9:N9"/>
    <mergeCell ref="G6:H6"/>
    <mergeCell ref="Q8:R8"/>
    <mergeCell ref="O9:P9"/>
    <mergeCell ref="E3:F3"/>
    <mergeCell ref="G3:H3"/>
    <mergeCell ref="I3:J3"/>
    <mergeCell ref="K3:L3"/>
    <mergeCell ref="M3:N3"/>
    <mergeCell ref="E8:F8"/>
    <mergeCell ref="G8:H8"/>
    <mergeCell ref="I8:J8"/>
    <mergeCell ref="K8:L8"/>
    <mergeCell ref="M8:N8"/>
    <mergeCell ref="M7:N7"/>
    <mergeCell ref="K6:L6"/>
    <mergeCell ref="I6:J6"/>
    <mergeCell ref="E7:F7"/>
    <mergeCell ref="G7:H7"/>
    <mergeCell ref="I7:J7"/>
    <mergeCell ref="K7:L7"/>
    <mergeCell ref="E6:F6"/>
  </mergeCells>
  <phoneticPr fontId="7" type="noConversion"/>
  <conditionalFormatting sqref="E8:R8">
    <cfRule type="cellIs" dxfId="0" priority="1" operator="lessThan">
      <formula>0.0208333333333333</formula>
    </cfRule>
  </conditionalFormatting>
  <dataValidations count="1">
    <dataValidation type="decimal" errorStyle="warning" operator="lessThan" allowBlank="1" showInputMessage="1" showErrorMessage="1" error="Intervalo menor que 30 minutos. " sqref="A8:D8 S8:XFD8" xr:uid="{61E9EEC1-20C4-45B6-A111-C65AD834FE28}">
      <formula1>B3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907AC-97FE-416B-A247-2BF5468DF7C5}">
  <sheetPr codeName="Planilha9"/>
  <dimension ref="A1:I18"/>
  <sheetViews>
    <sheetView showRowColHeaders="0" tabSelected="1" topLeftCell="C1" workbookViewId="0">
      <selection activeCell="F12" sqref="F12"/>
    </sheetView>
  </sheetViews>
  <sheetFormatPr defaultColWidth="0" defaultRowHeight="15" customHeight="1" zeroHeight="1" x14ac:dyDescent="0.25"/>
  <cols>
    <col min="1" max="2" width="9.140625" style="20" hidden="1" customWidth="1"/>
    <col min="3" max="3" width="5" style="20" customWidth="1"/>
    <col min="4" max="4" width="5.42578125" style="20" customWidth="1"/>
    <col min="5" max="5" width="66.28515625" style="20" customWidth="1"/>
    <col min="6" max="6" width="27.7109375" style="20" customWidth="1"/>
    <col min="7" max="7" width="9.28515625" style="20" customWidth="1"/>
    <col min="8" max="9" width="9.140625" style="20" hidden="1" customWidth="1"/>
    <col min="10" max="16384" width="9.140625" style="27" hidden="1"/>
  </cols>
  <sheetData>
    <row r="1" spans="3:7" s="17" customFormat="1" x14ac:dyDescent="0.25"/>
    <row r="2" spans="3:7" s="20" customFormat="1" x14ac:dyDescent="0.25">
      <c r="C2" s="18"/>
      <c r="D2" s="18"/>
      <c r="E2" s="18"/>
      <c r="F2" s="18"/>
      <c r="G2" s="19"/>
    </row>
    <row r="3" spans="3:7" s="20" customFormat="1" ht="31.5" x14ac:dyDescent="0.25">
      <c r="C3" s="18"/>
      <c r="D3" s="18"/>
      <c r="E3" s="11" t="s">
        <v>49</v>
      </c>
      <c r="F3" s="12">
        <v>4483</v>
      </c>
      <c r="G3" s="19"/>
    </row>
    <row r="4" spans="3:7" s="20" customFormat="1" x14ac:dyDescent="0.25">
      <c r="C4" s="18"/>
      <c r="D4" s="18"/>
      <c r="E4" s="11"/>
      <c r="F4" s="21"/>
      <c r="G4" s="19"/>
    </row>
    <row r="5" spans="3:7" s="20" customFormat="1" ht="23.25" x14ac:dyDescent="0.25">
      <c r="C5" s="18"/>
      <c r="D5" s="18"/>
      <c r="E5" s="11" t="s">
        <v>50</v>
      </c>
      <c r="F5" s="13">
        <v>30</v>
      </c>
      <c r="G5" s="19"/>
    </row>
    <row r="6" spans="3:7" s="20" customFormat="1" x14ac:dyDescent="0.25">
      <c r="C6" s="18"/>
      <c r="D6" s="18"/>
      <c r="E6" s="11"/>
      <c r="F6" s="21"/>
      <c r="G6" s="19"/>
    </row>
    <row r="7" spans="3:7" s="20" customFormat="1" x14ac:dyDescent="0.25">
      <c r="C7" s="18"/>
      <c r="D7" s="18"/>
      <c r="E7" s="11" t="s">
        <v>51</v>
      </c>
      <c r="F7" s="22"/>
      <c r="G7" s="19"/>
    </row>
    <row r="8" spans="3:7" s="20" customFormat="1" x14ac:dyDescent="0.25">
      <c r="C8" s="18"/>
      <c r="D8" s="18"/>
      <c r="E8" s="11" t="s">
        <v>52</v>
      </c>
      <c r="F8" s="23"/>
      <c r="G8" s="19"/>
    </row>
    <row r="9" spans="3:7" s="20" customFormat="1" x14ac:dyDescent="0.25">
      <c r="C9" s="18"/>
      <c r="D9" s="18"/>
      <c r="E9" s="11"/>
      <c r="F9" s="18"/>
      <c r="G9" s="19"/>
    </row>
    <row r="10" spans="3:7" s="20" customFormat="1" x14ac:dyDescent="0.25">
      <c r="C10" s="19"/>
      <c r="D10" s="19"/>
      <c r="E10" s="24"/>
      <c r="F10" s="25"/>
      <c r="G10" s="19"/>
    </row>
    <row r="11" spans="3:7" s="20" customFormat="1" x14ac:dyDescent="0.25">
      <c r="C11" s="18"/>
      <c r="D11" s="18"/>
      <c r="E11" s="11"/>
      <c r="F11" s="18"/>
      <c r="G11" s="18"/>
    </row>
    <row r="12" spans="3:7" s="20" customFormat="1" ht="31.5" x14ac:dyDescent="0.25">
      <c r="C12" s="18"/>
      <c r="D12" s="18"/>
      <c r="E12" s="26" t="s">
        <v>53</v>
      </c>
      <c r="F12" s="14">
        <f>F3*F5/44</f>
        <v>3056.590909090909</v>
      </c>
      <c r="G12" s="18"/>
    </row>
    <row r="13" spans="3:7" s="20" customFormat="1" x14ac:dyDescent="0.25">
      <c r="C13" s="18"/>
      <c r="D13" s="18"/>
      <c r="E13" s="11"/>
      <c r="F13" s="21"/>
      <c r="G13" s="18"/>
    </row>
    <row r="14" spans="3:7" s="20" customFormat="1" ht="18.75" x14ac:dyDescent="0.25">
      <c r="C14" s="18"/>
      <c r="D14" s="18"/>
      <c r="E14" s="26" t="s">
        <v>54</v>
      </c>
      <c r="F14" s="15">
        <f>IFERROR(F7*44/F3,0)</f>
        <v>0</v>
      </c>
      <c r="G14" s="18"/>
    </row>
    <row r="15" spans="3:7" s="20" customFormat="1" x14ac:dyDescent="0.25">
      <c r="C15" s="18"/>
      <c r="D15" s="18"/>
      <c r="E15" s="11"/>
      <c r="F15" s="21"/>
      <c r="G15" s="18"/>
    </row>
    <row r="16" spans="3:7" s="20" customFormat="1" ht="21" x14ac:dyDescent="0.25">
      <c r="C16" s="18"/>
      <c r="D16" s="18"/>
      <c r="E16" s="26" t="s">
        <v>55</v>
      </c>
      <c r="F16" s="16">
        <f>F3/220</f>
        <v>20.377272727272729</v>
      </c>
      <c r="G16" s="18"/>
    </row>
    <row r="17" spans="3:7" s="20" customFormat="1" ht="14.25" customHeight="1" x14ac:dyDescent="0.25">
      <c r="C17" s="18"/>
      <c r="D17" s="18"/>
      <c r="E17" s="18"/>
      <c r="F17" s="18"/>
      <c r="G17" s="18"/>
    </row>
    <row r="18" spans="3:7" s="20" customFormat="1" x14ac:dyDescent="0.25">
      <c r="C18" s="18"/>
      <c r="D18" s="18"/>
      <c r="E18" s="18"/>
      <c r="F18" s="18"/>
      <c r="G18" s="18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37160-0582-4E16-A171-5025AE7E020F}">
  <dimension ref="A1:C93"/>
  <sheetViews>
    <sheetView workbookViewId="0">
      <selection activeCell="D11" sqref="D11"/>
    </sheetView>
  </sheetViews>
  <sheetFormatPr defaultRowHeight="15" x14ac:dyDescent="0.25"/>
  <cols>
    <col min="1" max="1" width="68.5703125" customWidth="1"/>
    <col min="2" max="2" width="53.85546875" style="40" bestFit="1" customWidth="1"/>
    <col min="3" max="3" width="37.28515625" customWidth="1"/>
  </cols>
  <sheetData>
    <row r="1" spans="1:3" ht="18.75" x14ac:dyDescent="0.25">
      <c r="A1" s="125" t="s">
        <v>362</v>
      </c>
      <c r="B1" s="126" t="s">
        <v>264</v>
      </c>
      <c r="C1" s="126" t="s">
        <v>363</v>
      </c>
    </row>
    <row r="2" spans="1:3" x14ac:dyDescent="0.25">
      <c r="A2" s="7" t="s">
        <v>128</v>
      </c>
      <c r="B2" s="77" t="s">
        <v>232</v>
      </c>
      <c r="C2" t="s">
        <v>112</v>
      </c>
    </row>
    <row r="3" spans="1:3" x14ac:dyDescent="0.25">
      <c r="A3" t="s">
        <v>142</v>
      </c>
      <c r="B3" s="77" t="s">
        <v>233</v>
      </c>
      <c r="C3" t="s">
        <v>111</v>
      </c>
    </row>
    <row r="4" spans="1:3" x14ac:dyDescent="0.25">
      <c r="A4" t="s">
        <v>148</v>
      </c>
      <c r="B4" s="77" t="s">
        <v>234</v>
      </c>
      <c r="C4" t="s">
        <v>113</v>
      </c>
    </row>
    <row r="5" spans="1:3" x14ac:dyDescent="0.25">
      <c r="A5" t="s">
        <v>149</v>
      </c>
      <c r="B5" s="77" t="s">
        <v>235</v>
      </c>
      <c r="C5" t="s">
        <v>89</v>
      </c>
    </row>
    <row r="6" spans="1:3" x14ac:dyDescent="0.25">
      <c r="A6" t="s">
        <v>143</v>
      </c>
      <c r="B6" s="77" t="s">
        <v>236</v>
      </c>
      <c r="C6" t="s">
        <v>90</v>
      </c>
    </row>
    <row r="7" spans="1:3" x14ac:dyDescent="0.25">
      <c r="A7" t="s">
        <v>144</v>
      </c>
      <c r="B7" s="77" t="s">
        <v>237</v>
      </c>
      <c r="C7" t="s">
        <v>91</v>
      </c>
    </row>
    <row r="8" spans="1:3" x14ac:dyDescent="0.25">
      <c r="A8" t="s">
        <v>145</v>
      </c>
      <c r="B8" s="77" t="s">
        <v>237</v>
      </c>
      <c r="C8" t="s">
        <v>118</v>
      </c>
    </row>
    <row r="9" spans="1:3" x14ac:dyDescent="0.25">
      <c r="A9" t="s">
        <v>147</v>
      </c>
      <c r="B9" s="78" t="s">
        <v>238</v>
      </c>
      <c r="C9" t="s">
        <v>115</v>
      </c>
    </row>
    <row r="10" spans="1:3" x14ac:dyDescent="0.25">
      <c r="A10" t="s">
        <v>121</v>
      </c>
      <c r="B10" s="79" t="s">
        <v>239</v>
      </c>
      <c r="C10" t="s">
        <v>92</v>
      </c>
    </row>
    <row r="11" spans="1:3" x14ac:dyDescent="0.25">
      <c r="A11" t="s">
        <v>125</v>
      </c>
      <c r="B11" s="78" t="s">
        <v>240</v>
      </c>
      <c r="C11" t="s">
        <v>93</v>
      </c>
    </row>
    <row r="12" spans="1:3" x14ac:dyDescent="0.25">
      <c r="A12" t="s">
        <v>130</v>
      </c>
      <c r="B12" s="77" t="s">
        <v>241</v>
      </c>
      <c r="C12" t="s">
        <v>87</v>
      </c>
    </row>
    <row r="13" spans="1:3" x14ac:dyDescent="0.25">
      <c r="A13" t="s">
        <v>126</v>
      </c>
      <c r="B13" s="77" t="s">
        <v>242</v>
      </c>
      <c r="C13" t="s">
        <v>119</v>
      </c>
    </row>
    <row r="14" spans="1:3" x14ac:dyDescent="0.25">
      <c r="A14" t="s">
        <v>124</v>
      </c>
      <c r="B14" s="77" t="s">
        <v>243</v>
      </c>
      <c r="C14" t="s">
        <v>76</v>
      </c>
    </row>
    <row r="15" spans="1:3" x14ac:dyDescent="0.25">
      <c r="A15" t="s">
        <v>122</v>
      </c>
      <c r="B15" s="77" t="s">
        <v>244</v>
      </c>
      <c r="C15" t="s">
        <v>74</v>
      </c>
    </row>
    <row r="16" spans="1:3" x14ac:dyDescent="0.25">
      <c r="A16" t="s">
        <v>123</v>
      </c>
      <c r="B16" s="77" t="s">
        <v>245</v>
      </c>
      <c r="C16" t="s">
        <v>75</v>
      </c>
    </row>
    <row r="17" spans="1:3" x14ac:dyDescent="0.25">
      <c r="A17" t="s">
        <v>141</v>
      </c>
      <c r="B17" s="77" t="s">
        <v>246</v>
      </c>
      <c r="C17" t="s">
        <v>106</v>
      </c>
    </row>
    <row r="18" spans="1:3" x14ac:dyDescent="0.25">
      <c r="A18" t="s">
        <v>146</v>
      </c>
      <c r="B18" s="77" t="s">
        <v>247</v>
      </c>
      <c r="C18" t="s">
        <v>104</v>
      </c>
    </row>
    <row r="19" spans="1:3" x14ac:dyDescent="0.25">
      <c r="A19" t="s">
        <v>138</v>
      </c>
      <c r="B19" s="77" t="s">
        <v>248</v>
      </c>
      <c r="C19" t="s">
        <v>103</v>
      </c>
    </row>
    <row r="20" spans="1:3" x14ac:dyDescent="0.25">
      <c r="A20" s="114" t="s">
        <v>129</v>
      </c>
      <c r="B20" s="77" t="s">
        <v>249</v>
      </c>
      <c r="C20" t="s">
        <v>105</v>
      </c>
    </row>
    <row r="21" spans="1:3" x14ac:dyDescent="0.25">
      <c r="A21" t="s">
        <v>173</v>
      </c>
      <c r="B21" s="77" t="s">
        <v>250</v>
      </c>
      <c r="C21" t="s">
        <v>73</v>
      </c>
    </row>
    <row r="22" spans="1:3" x14ac:dyDescent="0.25">
      <c r="A22" t="s">
        <v>136</v>
      </c>
      <c r="B22" s="77" t="s">
        <v>251</v>
      </c>
      <c r="C22" t="s">
        <v>107</v>
      </c>
    </row>
    <row r="23" spans="1:3" x14ac:dyDescent="0.25">
      <c r="A23" t="s">
        <v>151</v>
      </c>
      <c r="B23" s="77" t="s">
        <v>252</v>
      </c>
      <c r="C23" t="s">
        <v>101</v>
      </c>
    </row>
    <row r="24" spans="1:3" x14ac:dyDescent="0.25">
      <c r="A24" t="s">
        <v>153</v>
      </c>
      <c r="B24" s="77" t="s">
        <v>253</v>
      </c>
      <c r="C24" t="s">
        <v>98</v>
      </c>
    </row>
    <row r="25" spans="1:3" x14ac:dyDescent="0.25">
      <c r="A25" t="s">
        <v>154</v>
      </c>
      <c r="B25" s="77" t="s">
        <v>254</v>
      </c>
      <c r="C25" t="s">
        <v>99</v>
      </c>
    </row>
    <row r="26" spans="1:3" x14ac:dyDescent="0.25">
      <c r="A26" t="s">
        <v>152</v>
      </c>
      <c r="B26" s="77" t="s">
        <v>255</v>
      </c>
      <c r="C26" t="s">
        <v>97</v>
      </c>
    </row>
    <row r="27" spans="1:3" x14ac:dyDescent="0.25">
      <c r="A27" t="s">
        <v>139</v>
      </c>
      <c r="B27" s="77" t="s">
        <v>256</v>
      </c>
      <c r="C27" t="s">
        <v>95</v>
      </c>
    </row>
    <row r="28" spans="1:3" x14ac:dyDescent="0.25">
      <c r="A28" t="s">
        <v>140</v>
      </c>
      <c r="B28" s="77" t="s">
        <v>257</v>
      </c>
      <c r="C28" t="s">
        <v>96</v>
      </c>
    </row>
    <row r="29" spans="1:3" x14ac:dyDescent="0.25">
      <c r="A29" t="s">
        <v>150</v>
      </c>
      <c r="B29" s="77" t="s">
        <v>258</v>
      </c>
      <c r="C29" t="s">
        <v>100</v>
      </c>
    </row>
    <row r="30" spans="1:3" x14ac:dyDescent="0.25">
      <c r="A30" t="s">
        <v>229</v>
      </c>
      <c r="B30" s="77" t="s">
        <v>259</v>
      </c>
      <c r="C30" t="s">
        <v>102</v>
      </c>
    </row>
    <row r="31" spans="1:3" x14ac:dyDescent="0.25">
      <c r="A31" t="s">
        <v>133</v>
      </c>
      <c r="B31" s="77" t="s">
        <v>260</v>
      </c>
      <c r="C31" t="s">
        <v>116</v>
      </c>
    </row>
    <row r="32" spans="1:3" x14ac:dyDescent="0.25">
      <c r="A32" t="s">
        <v>132</v>
      </c>
      <c r="B32" s="77" t="s">
        <v>220</v>
      </c>
      <c r="C32" t="s">
        <v>117</v>
      </c>
    </row>
    <row r="33" spans="1:3" x14ac:dyDescent="0.25">
      <c r="A33" s="114" t="s">
        <v>127</v>
      </c>
      <c r="B33" s="77" t="s">
        <v>261</v>
      </c>
      <c r="C33" t="s">
        <v>88</v>
      </c>
    </row>
    <row r="34" spans="1:3" x14ac:dyDescent="0.25">
      <c r="A34" t="s">
        <v>131</v>
      </c>
      <c r="B34" s="77" t="s">
        <v>225</v>
      </c>
      <c r="C34" t="s">
        <v>94</v>
      </c>
    </row>
    <row r="35" spans="1:3" x14ac:dyDescent="0.25">
      <c r="A35" t="s">
        <v>227</v>
      </c>
      <c r="B35" s="77" t="s">
        <v>262</v>
      </c>
      <c r="C35" t="s">
        <v>72</v>
      </c>
    </row>
    <row r="36" spans="1:3" ht="15.75" thickBot="1" x14ac:dyDescent="0.3">
      <c r="A36" t="s">
        <v>228</v>
      </c>
      <c r="B36" s="80" t="s">
        <v>224</v>
      </c>
      <c r="C36" t="s">
        <v>108</v>
      </c>
    </row>
    <row r="37" spans="1:3" x14ac:dyDescent="0.25">
      <c r="A37" t="s">
        <v>134</v>
      </c>
      <c r="C37" t="s">
        <v>85</v>
      </c>
    </row>
    <row r="38" spans="1:3" x14ac:dyDescent="0.25">
      <c r="A38" t="s">
        <v>226</v>
      </c>
      <c r="C38" t="s">
        <v>84</v>
      </c>
    </row>
    <row r="39" spans="1:3" x14ac:dyDescent="0.25">
      <c r="A39" t="s">
        <v>137</v>
      </c>
      <c r="C39" t="s">
        <v>86</v>
      </c>
    </row>
    <row r="40" spans="1:3" x14ac:dyDescent="0.25">
      <c r="A40" t="s">
        <v>135</v>
      </c>
      <c r="C40" t="s">
        <v>80</v>
      </c>
    </row>
    <row r="41" spans="1:3" x14ac:dyDescent="0.25">
      <c r="A41" t="s">
        <v>170</v>
      </c>
      <c r="C41" t="s">
        <v>78</v>
      </c>
    </row>
    <row r="42" spans="1:3" x14ac:dyDescent="0.25">
      <c r="A42" s="113" t="s">
        <v>230</v>
      </c>
      <c r="C42" t="s">
        <v>79</v>
      </c>
    </row>
    <row r="43" spans="1:3" x14ac:dyDescent="0.25">
      <c r="A43" t="s">
        <v>174</v>
      </c>
      <c r="C43" t="s">
        <v>77</v>
      </c>
    </row>
    <row r="44" spans="1:3" x14ac:dyDescent="0.25">
      <c r="A44" t="s">
        <v>175</v>
      </c>
      <c r="C44" t="s">
        <v>82</v>
      </c>
    </row>
    <row r="45" spans="1:3" x14ac:dyDescent="0.25">
      <c r="A45" t="s">
        <v>176</v>
      </c>
      <c r="C45" t="s">
        <v>81</v>
      </c>
    </row>
    <row r="46" spans="1:3" x14ac:dyDescent="0.25">
      <c r="A46" t="s">
        <v>177</v>
      </c>
      <c r="C46" t="s">
        <v>83</v>
      </c>
    </row>
    <row r="47" spans="1:3" x14ac:dyDescent="0.25">
      <c r="A47" t="s">
        <v>178</v>
      </c>
      <c r="C47" t="s">
        <v>110</v>
      </c>
    </row>
    <row r="48" spans="1:3" x14ac:dyDescent="0.25">
      <c r="A48" t="s">
        <v>179</v>
      </c>
    </row>
    <row r="49" spans="1:1" x14ac:dyDescent="0.25">
      <c r="A49" t="s">
        <v>180</v>
      </c>
    </row>
    <row r="50" spans="1:1" x14ac:dyDescent="0.25">
      <c r="A50" t="s">
        <v>181</v>
      </c>
    </row>
    <row r="51" spans="1:1" x14ac:dyDescent="0.25">
      <c r="A51" t="s">
        <v>182</v>
      </c>
    </row>
    <row r="52" spans="1:1" x14ac:dyDescent="0.25">
      <c r="A52" t="s">
        <v>183</v>
      </c>
    </row>
    <row r="53" spans="1:1" x14ac:dyDescent="0.25">
      <c r="A53" t="s">
        <v>184</v>
      </c>
    </row>
    <row r="54" spans="1:1" x14ac:dyDescent="0.25">
      <c r="A54" t="s">
        <v>185</v>
      </c>
    </row>
    <row r="55" spans="1:1" x14ac:dyDescent="0.25">
      <c r="A55" t="s">
        <v>186</v>
      </c>
    </row>
    <row r="56" spans="1:1" x14ac:dyDescent="0.25">
      <c r="A56" t="s">
        <v>187</v>
      </c>
    </row>
    <row r="57" spans="1:1" x14ac:dyDescent="0.25">
      <c r="A57" t="s">
        <v>188</v>
      </c>
    </row>
    <row r="58" spans="1:1" x14ac:dyDescent="0.25">
      <c r="A58" t="s">
        <v>189</v>
      </c>
    </row>
    <row r="59" spans="1:1" x14ac:dyDescent="0.25">
      <c r="A59" t="s">
        <v>190</v>
      </c>
    </row>
    <row r="60" spans="1:1" x14ac:dyDescent="0.25">
      <c r="A60" t="s">
        <v>191</v>
      </c>
    </row>
    <row r="61" spans="1:1" x14ac:dyDescent="0.25">
      <c r="A61" t="s">
        <v>192</v>
      </c>
    </row>
    <row r="62" spans="1:1" x14ac:dyDescent="0.25">
      <c r="A62" t="s">
        <v>193</v>
      </c>
    </row>
    <row r="63" spans="1:1" x14ac:dyDescent="0.25">
      <c r="A63" t="s">
        <v>194</v>
      </c>
    </row>
    <row r="64" spans="1:1" x14ac:dyDescent="0.25">
      <c r="A64" t="s">
        <v>195</v>
      </c>
    </row>
    <row r="65" spans="1:1" x14ac:dyDescent="0.25">
      <c r="A65" t="s">
        <v>196</v>
      </c>
    </row>
    <row r="66" spans="1:1" x14ac:dyDescent="0.25">
      <c r="A66" t="s">
        <v>197</v>
      </c>
    </row>
    <row r="67" spans="1:1" x14ac:dyDescent="0.25">
      <c r="A67" t="s">
        <v>198</v>
      </c>
    </row>
    <row r="68" spans="1:1" x14ac:dyDescent="0.25">
      <c r="A68" t="s">
        <v>199</v>
      </c>
    </row>
    <row r="69" spans="1:1" x14ac:dyDescent="0.25">
      <c r="A69" t="s">
        <v>200</v>
      </c>
    </row>
    <row r="70" spans="1:1" x14ac:dyDescent="0.25">
      <c r="A70" t="s">
        <v>201</v>
      </c>
    </row>
    <row r="71" spans="1:1" x14ac:dyDescent="0.25">
      <c r="A71" t="s">
        <v>202</v>
      </c>
    </row>
    <row r="72" spans="1:1" x14ac:dyDescent="0.25">
      <c r="A72" t="s">
        <v>203</v>
      </c>
    </row>
    <row r="73" spans="1:1" x14ac:dyDescent="0.25">
      <c r="A73" t="s">
        <v>204</v>
      </c>
    </row>
    <row r="74" spans="1:1" x14ac:dyDescent="0.25">
      <c r="A74" t="s">
        <v>205</v>
      </c>
    </row>
    <row r="75" spans="1:1" x14ac:dyDescent="0.25">
      <c r="A75" t="s">
        <v>206</v>
      </c>
    </row>
    <row r="76" spans="1:1" x14ac:dyDescent="0.25">
      <c r="A76" t="s">
        <v>207</v>
      </c>
    </row>
    <row r="77" spans="1:1" x14ac:dyDescent="0.25">
      <c r="A77" t="s">
        <v>208</v>
      </c>
    </row>
    <row r="78" spans="1:1" x14ac:dyDescent="0.25">
      <c r="A78" t="s">
        <v>209</v>
      </c>
    </row>
    <row r="79" spans="1:1" x14ac:dyDescent="0.25">
      <c r="A79" t="s">
        <v>210</v>
      </c>
    </row>
    <row r="80" spans="1:1" x14ac:dyDescent="0.25">
      <c r="A80" t="s">
        <v>211</v>
      </c>
    </row>
    <row r="81" spans="1:1" x14ac:dyDescent="0.25">
      <c r="A81" t="s">
        <v>212</v>
      </c>
    </row>
    <row r="82" spans="1:1" x14ac:dyDescent="0.25">
      <c r="A82" t="s">
        <v>213</v>
      </c>
    </row>
    <row r="83" spans="1:1" x14ac:dyDescent="0.25">
      <c r="A83" t="s">
        <v>214</v>
      </c>
    </row>
    <row r="84" spans="1:1" x14ac:dyDescent="0.25">
      <c r="A84" t="s">
        <v>215</v>
      </c>
    </row>
    <row r="85" spans="1:1" x14ac:dyDescent="0.25">
      <c r="A85" t="s">
        <v>216</v>
      </c>
    </row>
    <row r="86" spans="1:1" x14ac:dyDescent="0.25">
      <c r="A86" t="s">
        <v>217</v>
      </c>
    </row>
    <row r="87" spans="1:1" x14ac:dyDescent="0.25">
      <c r="A87" t="s">
        <v>218</v>
      </c>
    </row>
    <row r="88" spans="1:1" x14ac:dyDescent="0.25">
      <c r="A88" t="s">
        <v>219</v>
      </c>
    </row>
    <row r="89" spans="1:1" x14ac:dyDescent="0.25">
      <c r="A89" t="s">
        <v>220</v>
      </c>
    </row>
    <row r="90" spans="1:1" x14ac:dyDescent="0.25">
      <c r="A90" t="s">
        <v>221</v>
      </c>
    </row>
    <row r="91" spans="1:1" x14ac:dyDescent="0.25">
      <c r="A91" t="s">
        <v>222</v>
      </c>
    </row>
    <row r="92" spans="1:1" x14ac:dyDescent="0.25">
      <c r="A92" t="s">
        <v>223</v>
      </c>
    </row>
    <row r="93" spans="1:1" x14ac:dyDescent="0.25">
      <c r="A93" t="s">
        <v>224</v>
      </c>
    </row>
  </sheetData>
  <sheetProtection algorithmName="SHA-512" hashValue="LaGADuwy2OtNO7cHezw1AutaRJqKMW5M/q33phDAbr8BLZSOaP2IixNUAI25WSXovEmUJHyxYkzeyS1mPY3bKw==" saltValue="dHkF8D8Bd9Vd72Ydvww1jA==" spinCount="100000" sheet="1" objects="1" scenarios="1" selectLockedCells="1" selectUnlockedCells="1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E3C3E4AA-1A99-4979-9577-189026931C97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93D1C662-E505-478F-897E-BF2DD67BBE48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Base protocolos</vt:lpstr>
      <vt:lpstr>PROTOCOLOS</vt:lpstr>
      <vt:lpstr>ORIENTAÇÕES</vt:lpstr>
      <vt:lpstr>RESPOSTAS PADRÃO</vt:lpstr>
      <vt:lpstr>PISO</vt:lpstr>
      <vt:lpstr>NORMAS</vt:lpstr>
      <vt:lpstr>NOMES EMPRESARIAIS</vt:lpstr>
      <vt:lpstr>CALC. HORAS</vt:lpstr>
      <vt:lpstr>PISO_REF. 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Camyla Cezar</dc:creator>
  <cp:lastModifiedBy>Thais Camyla Cezar</cp:lastModifiedBy>
  <cp:lastPrinted>2026-03-27T11:30:25Z</cp:lastPrinted>
  <dcterms:created xsi:type="dcterms:W3CDTF">2025-12-01T11:23:23Z</dcterms:created>
  <dcterms:modified xsi:type="dcterms:W3CDTF">2026-04-08T11:21:30Z</dcterms:modified>
</cp:coreProperties>
</file>